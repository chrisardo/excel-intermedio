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F:\Excel\Skills\4° SESIÓN\"/>
    </mc:Choice>
  </mc:AlternateContent>
  <xr:revisionPtr revIDLastSave="0" documentId="13_ncr:1_{AC7FA126-9DC4-4A67-8D87-9A1EE4E77545}" xr6:coauthVersionLast="47" xr6:coauthVersionMax="47" xr10:uidLastSave="{00000000-0000-0000-0000-000000000000}"/>
  <bookViews>
    <workbookView xWindow="10032" yWindow="0" windowWidth="13152" windowHeight="12336" tabRatio="891" firstSheet="8" activeTab="9" xr2:uid="{773F6757-00E1-46DA-95FB-03C4EC5210EE}"/>
  </bookViews>
  <sheets>
    <sheet name="Frase" sheetId="2" r:id="rId1"/>
    <sheet name="Docente" sheetId="3" r:id="rId2"/>
    <sheet name="ValidacionDeDatos" sheetId="23" r:id="rId3"/>
    <sheet name="Ejercicio Dashboard" sheetId="37" r:id="rId4"/>
    <sheet name="Dashboard" sheetId="36" r:id="rId5"/>
    <sheet name="Funciones Financieras" sheetId="38" r:id="rId6"/>
    <sheet name="Funciones Fechas" sheetId="40" r:id="rId7"/>
    <sheet name="ConectarRespuestasDeFormulario" sheetId="41" r:id="rId8"/>
    <sheet name="ConceptoMacros" sheetId="39" r:id="rId9"/>
    <sheet name="ControlesFormulario" sheetId="28" r:id="rId10"/>
    <sheet name="CodigoVBA" sheetId="35" r:id="rId11"/>
    <sheet name="Función DESREF" sheetId="42" r:id="rId12"/>
    <sheet name="Extra" sheetId="14" r:id="rId13"/>
    <sheet name="GPT cache" sheetId="44" state="veryHidden" r:id="rId14"/>
  </sheets>
  <definedNames>
    <definedName name="_xlcn.WorksheetConnection_Clase03ExcelProfesional.xlsxtbl_cuotas1" hidden="1">tbl_cuotas</definedName>
    <definedName name="_xlcn.WorksheetConnection_Clase03ExcelProfesional.xlsxtbl_ejecutivo1" hidden="1">tbl_ejecutivo</definedName>
    <definedName name="_xlcn.WorksheetConnection_Clase03ExcelProfesional.xlsxtbl_periodo1" hidden="1">tbl_periodo</definedName>
    <definedName name="_xlcn.WorksheetConnection_Clase03ExcelProfesional.xlsxtbl_producto1" hidden="1">tbl_producto</definedName>
    <definedName name="_xlcn.WorksheetConnection_Clase03ExcelProfesional.xlsxtbl_ventas1" hidden="1">tbl_ventas</definedName>
    <definedName name="Colombia">ValidacionDeDatos!$B$66:$B$97</definedName>
    <definedName name="Perú">ValidacionDeDatos!$C$66:$C$97</definedName>
    <definedName name="SegmentaciónDeDatos_Año1">#N/A</definedName>
    <definedName name="SegmentaciónDeDatos_Mes1">#N/A</definedName>
    <definedName name="SegmentaciónDeDatos_Nro._Semana">#N/A</definedName>
    <definedName name="Uruguay">ValidacionDeDatos!$D$66:$D$97</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ventas" name="tbl_ventas" connection="WorksheetConnection_Clase 03 - Excel Profesional.xlsx!tbl_ventas"/>
          <x15:modelTable id="tbl_producto" name="tbl_producto" connection="WorksheetConnection_Clase 03 - Excel Profesional.xlsx!tbl_producto"/>
          <x15:modelTable id="tbl_periodo" name="tbl_periodo" connection="WorksheetConnection_Clase 03 - Excel Profesional.xlsx!tbl_periodo"/>
          <x15:modelTable id="tbl_ejecutivo" name="tbl_ejecutivo" connection="WorksheetConnection_Clase 03 - Excel Profesional.xlsx!tbl_ejecutivo"/>
          <x15:modelTable id="tbl_cuotas" name="tbl_cuotas" connection="WorksheetConnection_Clase 03 - Excel Profesional.xlsx!tbl_cuotas"/>
        </x15:modelTables>
        <x15:modelRelationships>
          <x15:modelRelationship fromTable="tbl_ventas" fromColumn="VENDEDOR" toTable="tbl_ejecutivo" toColumn="EJECUTIVO"/>
          <x15:modelRelationship fromTable="tbl_ventas" fromColumn="PERIODO" toTable="tbl_periodo" toColumn="PERIODO"/>
          <x15:modelRelationship fromTable="tbl_ventas" fromColumn="PRODUCTO" toTable="tbl_producto" toColumn="PRODUCTO"/>
          <x15:modelRelationship fromTable="tbl_cuotas" fromColumn="VENDEDOR" toTable="tbl_ejecutivo" toColumn="EJECUTIVO"/>
          <x15:modelRelationship fromTable="tbl_cuotas" fromColumn="PERIODO" toTable="tbl_periodo" toColumn="PERIODO"/>
          <x15:modelRelationship fromTable="tbl_cuotas" fromColumn="PRODUCTO" toTable="tbl_producto" toColumn="PRODUCT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24" i="40" l="1"/>
  <c r="D93" i="40"/>
  <c r="D81" i="40"/>
  <c r="J82" i="40" s="1"/>
  <c r="D49" i="40"/>
  <c r="H20" i="38"/>
  <c r="C19" i="38"/>
  <c r="H8" i="38"/>
  <c r="C11" i="38"/>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K83" i="37"/>
  <c r="K84" i="37"/>
  <c r="K85" i="37"/>
  <c r="K86" i="37"/>
  <c r="K87" i="37"/>
  <c r="K88" i="37"/>
  <c r="K89" i="37"/>
  <c r="K90" i="37"/>
  <c r="K91" i="37"/>
  <c r="K92" i="37"/>
  <c r="K93" i="37"/>
  <c r="K94" i="37"/>
  <c r="K95" i="37"/>
  <c r="K96" i="37"/>
  <c r="K97" i="37"/>
  <c r="K98" i="37"/>
  <c r="K99" i="37"/>
  <c r="K100" i="37"/>
  <c r="K101" i="37"/>
  <c r="K102" i="37"/>
  <c r="K103" i="37"/>
  <c r="K104" i="37"/>
  <c r="K105" i="37"/>
  <c r="K106" i="37"/>
  <c r="K107" i="37"/>
  <c r="K108" i="37"/>
  <c r="K109" i="37"/>
  <c r="K110" i="37"/>
  <c r="K111" i="37"/>
  <c r="K112" i="37"/>
  <c r="K113" i="37"/>
  <c r="K114" i="37"/>
  <c r="K115" i="37"/>
  <c r="K116" i="37"/>
  <c r="K117" i="37"/>
  <c r="K118" i="37"/>
  <c r="K119" i="37"/>
  <c r="K120" i="37"/>
  <c r="K121" i="37"/>
  <c r="K122" i="37"/>
  <c r="K123" i="37"/>
  <c r="K124" i="37"/>
  <c r="K125" i="37"/>
  <c r="K126" i="37"/>
  <c r="K127" i="37"/>
  <c r="K128" i="37"/>
  <c r="K129" i="37"/>
  <c r="K130" i="37"/>
  <c r="K131" i="37"/>
  <c r="K132" i="37"/>
  <c r="K133" i="37"/>
  <c r="K134" i="37"/>
  <c r="K135" i="37"/>
  <c r="K136" i="37"/>
  <c r="K137" i="37"/>
  <c r="K138" i="37"/>
  <c r="K139" i="37"/>
  <c r="K140" i="37"/>
  <c r="K141" i="37"/>
  <c r="K142" i="37"/>
  <c r="K143" i="37"/>
  <c r="K144" i="37"/>
  <c r="K145" i="37"/>
  <c r="K146" i="37"/>
  <c r="K147" i="37"/>
  <c r="K148" i="37"/>
  <c r="K149" i="37"/>
  <c r="K150" i="37"/>
  <c r="K151" i="37"/>
  <c r="K152" i="37"/>
  <c r="K153" i="37"/>
  <c r="K154" i="37"/>
  <c r="K155" i="37"/>
  <c r="K156" i="37"/>
  <c r="K157" i="37"/>
  <c r="K158" i="37"/>
  <c r="K159" i="37"/>
  <c r="K160" i="37"/>
  <c r="K161" i="37"/>
  <c r="K162" i="37"/>
  <c r="K163" i="37"/>
  <c r="K164" i="37"/>
  <c r="K165" i="37"/>
  <c r="K166" i="37"/>
  <c r="K167" i="37"/>
  <c r="K168" i="37"/>
  <c r="K169" i="37"/>
  <c r="K170" i="37"/>
  <c r="K171" i="37"/>
  <c r="K172" i="37"/>
  <c r="K173" i="37"/>
  <c r="K174" i="37"/>
  <c r="K175" i="37"/>
  <c r="K176" i="37"/>
  <c r="K177" i="37"/>
  <c r="K178" i="37"/>
  <c r="K179" i="37"/>
  <c r="K180" i="37"/>
  <c r="K181" i="37"/>
  <c r="K182" i="37"/>
  <c r="K183" i="37"/>
  <c r="K184" i="37"/>
  <c r="K185" i="37"/>
  <c r="K186" i="37"/>
  <c r="K187" i="37"/>
  <c r="K188" i="37"/>
  <c r="K189" i="37"/>
  <c r="K190" i="37"/>
  <c r="K191" i="37"/>
  <c r="K192" i="37"/>
  <c r="K193" i="37"/>
  <c r="K194" i="37"/>
  <c r="K195" i="37"/>
  <c r="K196" i="37"/>
  <c r="K197" i="37"/>
  <c r="K198" i="37"/>
  <c r="K199" i="37"/>
  <c r="K200" i="37"/>
  <c r="K201" i="37"/>
  <c r="K202" i="37"/>
  <c r="K203" i="37"/>
  <c r="K204" i="37"/>
  <c r="K205" i="37"/>
  <c r="K206" i="37"/>
  <c r="K207" i="37"/>
  <c r="K208" i="37"/>
  <c r="K209" i="37"/>
  <c r="K210" i="37"/>
  <c r="K211" i="37"/>
  <c r="K212" i="37"/>
  <c r="K213" i="37"/>
  <c r="K214" i="37"/>
  <c r="K215" i="37"/>
  <c r="K216" i="37"/>
  <c r="K217" i="37"/>
  <c r="K218" i="37"/>
  <c r="K219" i="37"/>
  <c r="K220" i="37"/>
  <c r="K221" i="37"/>
  <c r="K222" i="37"/>
  <c r="K223" i="37"/>
  <c r="K224" i="37"/>
  <c r="K225" i="37"/>
  <c r="K226" i="37"/>
  <c r="K227" i="37"/>
  <c r="K228" i="37"/>
  <c r="K229" i="37"/>
  <c r="K230" i="37"/>
  <c r="K231" i="37"/>
  <c r="K232" i="37"/>
  <c r="K233" i="37"/>
  <c r="K234" i="37"/>
  <c r="K235" i="37"/>
  <c r="K236" i="37"/>
  <c r="K237" i="37"/>
  <c r="K238" i="37"/>
  <c r="K239" i="37"/>
  <c r="K240" i="37"/>
  <c r="K241" i="37"/>
  <c r="K242" i="37"/>
  <c r="K243" i="37"/>
  <c r="K244" i="37"/>
  <c r="K245" i="37"/>
  <c r="K246" i="37"/>
  <c r="K247" i="37"/>
  <c r="K248" i="37"/>
  <c r="K249" i="37"/>
  <c r="K250" i="37"/>
  <c r="K251" i="37"/>
  <c r="K252" i="37"/>
  <c r="K253" i="37"/>
  <c r="K254" i="37"/>
  <c r="K255" i="37"/>
  <c r="K256" i="37"/>
  <c r="K257" i="37"/>
  <c r="K258" i="37"/>
  <c r="K259" i="37"/>
  <c r="K260" i="37"/>
  <c r="K261" i="37"/>
  <c r="K262" i="37"/>
  <c r="K263" i="37"/>
  <c r="K264" i="37"/>
  <c r="K265" i="37"/>
  <c r="K266" i="37"/>
  <c r="K267" i="37"/>
  <c r="K268" i="37"/>
  <c r="K269" i="37"/>
  <c r="K270" i="37"/>
  <c r="K271" i="37"/>
  <c r="K272" i="37"/>
  <c r="K273" i="37"/>
  <c r="K274" i="37"/>
  <c r="K275" i="37"/>
  <c r="K276" i="37"/>
  <c r="K277" i="37"/>
  <c r="K278" i="37"/>
  <c r="K279" i="37"/>
  <c r="K280" i="37"/>
  <c r="K281" i="37"/>
  <c r="K282" i="37"/>
  <c r="K283" i="37"/>
  <c r="K284" i="37"/>
  <c r="K285" i="37"/>
  <c r="K286" i="37"/>
  <c r="K287" i="37"/>
  <c r="K288" i="37"/>
  <c r="K289" i="37"/>
  <c r="K290" i="37"/>
  <c r="K291" i="37"/>
  <c r="K292" i="37"/>
  <c r="K293" i="37"/>
  <c r="K294" i="37"/>
  <c r="K295" i="37"/>
  <c r="K296" i="37"/>
  <c r="K297" i="37"/>
  <c r="K298" i="37"/>
  <c r="K299" i="37"/>
  <c r="K300" i="37"/>
  <c r="K301" i="37"/>
  <c r="K302" i="37"/>
  <c r="K303" i="37"/>
  <c r="K304" i="37"/>
  <c r="K305" i="37"/>
  <c r="K306" i="37"/>
  <c r="K307" i="37"/>
  <c r="K308" i="37"/>
  <c r="K309" i="37"/>
  <c r="K310" i="37"/>
  <c r="K311" i="37"/>
  <c r="K312" i="37"/>
  <c r="K313" i="37"/>
  <c r="K314" i="37"/>
  <c r="K315" i="37"/>
  <c r="K316" i="37"/>
  <c r="K317" i="37"/>
  <c r="K318" i="37"/>
  <c r="K319" i="37"/>
  <c r="K320" i="37"/>
  <c r="K321" i="37"/>
  <c r="K322" i="37"/>
  <c r="K323" i="37"/>
  <c r="K324" i="37"/>
  <c r="K325" i="37"/>
  <c r="K326" i="37"/>
  <c r="K327" i="37"/>
  <c r="K328" i="37"/>
  <c r="K329" i="37"/>
  <c r="K330" i="37"/>
  <c r="K331" i="37"/>
  <c r="K332" i="37"/>
  <c r="K333" i="37"/>
  <c r="K334" i="37"/>
  <c r="K335" i="37"/>
  <c r="K336" i="37"/>
  <c r="K337" i="37"/>
  <c r="K338" i="37"/>
  <c r="K339" i="37"/>
  <c r="K340" i="37"/>
  <c r="K341" i="37"/>
  <c r="K342" i="37"/>
  <c r="K343" i="37"/>
  <c r="K344" i="37"/>
  <c r="K345" i="37"/>
  <c r="K346" i="37"/>
  <c r="K347" i="37"/>
  <c r="K348" i="37"/>
  <c r="K349" i="37"/>
  <c r="K350" i="37"/>
  <c r="K351" i="37"/>
  <c r="K352" i="37"/>
  <c r="K353" i="37"/>
  <c r="K354" i="37"/>
  <c r="K355" i="37"/>
  <c r="K356" i="37"/>
  <c r="K357" i="37"/>
  <c r="K358" i="37"/>
  <c r="K359" i="37"/>
  <c r="K360" i="37"/>
  <c r="K361" i="37"/>
  <c r="K362" i="37"/>
  <c r="K363" i="37"/>
  <c r="K364" i="37"/>
  <c r="K365" i="37"/>
  <c r="K366" i="37"/>
  <c r="K367" i="37"/>
  <c r="K368" i="37"/>
  <c r="K369" i="37"/>
  <c r="K370" i="37"/>
  <c r="K371" i="37"/>
  <c r="K372" i="37"/>
  <c r="K373" i="37"/>
  <c r="K374" i="37"/>
  <c r="K375" i="37"/>
  <c r="K376" i="37"/>
  <c r="K377" i="37"/>
  <c r="K378" i="37"/>
  <c r="K379" i="37"/>
  <c r="K380" i="37"/>
  <c r="K381" i="37"/>
  <c r="K382" i="37"/>
  <c r="K383" i="37"/>
  <c r="K384" i="37"/>
  <c r="K385" i="37"/>
  <c r="K386" i="37"/>
  <c r="K387" i="37"/>
  <c r="K388" i="37"/>
  <c r="K389" i="37"/>
  <c r="K390" i="37"/>
  <c r="K391" i="37"/>
  <c r="K392" i="37"/>
  <c r="K393" i="37"/>
  <c r="K394" i="37"/>
  <c r="K395" i="37"/>
  <c r="K396" i="37"/>
  <c r="K397" i="37"/>
  <c r="K398" i="37"/>
  <c r="K399" i="37"/>
  <c r="K400" i="37"/>
  <c r="K401" i="37"/>
  <c r="K402" i="37"/>
  <c r="K403" i="37"/>
  <c r="K404" i="37"/>
  <c r="K405" i="37"/>
  <c r="K406" i="37"/>
  <c r="K407" i="37"/>
  <c r="K408" i="37"/>
  <c r="K409" i="37"/>
  <c r="K410" i="37"/>
  <c r="K411" i="37"/>
  <c r="K412" i="37"/>
  <c r="K413" i="37"/>
  <c r="K414" i="37"/>
  <c r="K415" i="37"/>
  <c r="K416" i="37"/>
  <c r="K417" i="37"/>
  <c r="K418" i="37"/>
  <c r="K419" i="37"/>
  <c r="K420" i="37"/>
  <c r="K421" i="37"/>
  <c r="K422" i="37"/>
  <c r="K423" i="37"/>
  <c r="K424" i="37"/>
  <c r="K425" i="37"/>
  <c r="K426" i="37"/>
  <c r="K427" i="37"/>
  <c r="K428" i="37"/>
  <c r="K429" i="37"/>
  <c r="K430" i="37"/>
  <c r="K431" i="37"/>
  <c r="K432" i="37"/>
  <c r="K433" i="37"/>
  <c r="K434" i="37"/>
  <c r="K435" i="37"/>
  <c r="K436" i="37"/>
  <c r="K437" i="37"/>
  <c r="K438" i="37"/>
  <c r="K439" i="37"/>
  <c r="K440" i="37"/>
  <c r="K441" i="37"/>
  <c r="K442" i="37"/>
  <c r="K443" i="37"/>
  <c r="K444" i="37"/>
  <c r="K445" i="37"/>
  <c r="K446" i="37"/>
  <c r="K447" i="37"/>
  <c r="K448" i="37"/>
  <c r="K449" i="37"/>
  <c r="K450" i="37"/>
  <c r="K451" i="37"/>
  <c r="K452" i="37"/>
  <c r="K453" i="37"/>
  <c r="K454" i="37"/>
  <c r="K455" i="37"/>
  <c r="K456" i="37"/>
  <c r="K457" i="37"/>
  <c r="K458" i="37"/>
  <c r="K459" i="37"/>
  <c r="K460" i="37"/>
  <c r="K461" i="37"/>
  <c r="K462" i="37"/>
  <c r="K463" i="37"/>
  <c r="K464" i="37"/>
  <c r="K465" i="37"/>
  <c r="K466" i="37"/>
  <c r="K467" i="37"/>
  <c r="K468" i="37"/>
  <c r="K469" i="37"/>
  <c r="K470" i="37"/>
  <c r="K471" i="37"/>
  <c r="K472" i="37"/>
  <c r="K473" i="37"/>
  <c r="K474" i="37"/>
  <c r="K475" i="37"/>
  <c r="K476" i="37"/>
  <c r="K477" i="37"/>
  <c r="K478" i="37"/>
  <c r="K479" i="37"/>
  <c r="K480" i="37"/>
  <c r="K481" i="37"/>
  <c r="K482" i="37"/>
  <c r="K483" i="37"/>
  <c r="K484" i="37"/>
  <c r="K485" i="37"/>
  <c r="K486" i="37"/>
  <c r="K487" i="37"/>
  <c r="K488" i="37"/>
  <c r="K489" i="37"/>
  <c r="K490" i="37"/>
  <c r="K491" i="37"/>
  <c r="K492" i="37"/>
  <c r="K493" i="37"/>
  <c r="K494" i="37"/>
  <c r="K495" i="37"/>
  <c r="K496" i="37"/>
  <c r="K497" i="37"/>
  <c r="K498" i="37"/>
  <c r="K499" i="37"/>
  <c r="K500" i="37"/>
  <c r="K501" i="37"/>
  <c r="K502" i="37"/>
  <c r="K503" i="37"/>
  <c r="K504" i="37"/>
  <c r="K505" i="37"/>
  <c r="K506" i="37"/>
  <c r="K507" i="37"/>
  <c r="K508" i="37"/>
  <c r="K509" i="37"/>
  <c r="K510" i="37"/>
  <c r="K511" i="37"/>
  <c r="K512" i="37"/>
  <c r="K513" i="37"/>
  <c r="K514" i="37"/>
  <c r="K515" i="37"/>
  <c r="K516" i="37"/>
  <c r="K517" i="37"/>
  <c r="K518" i="37"/>
  <c r="K519" i="37"/>
  <c r="K520" i="37"/>
  <c r="K521" i="37"/>
  <c r="K522" i="37"/>
  <c r="K523" i="37"/>
  <c r="K524" i="37"/>
  <c r="K525" i="37"/>
  <c r="K526" i="37"/>
  <c r="K527" i="37"/>
  <c r="K528" i="37"/>
  <c r="K529" i="37"/>
  <c r="K530" i="37"/>
  <c r="K531" i="37"/>
  <c r="K532" i="37"/>
  <c r="K533" i="37"/>
  <c r="K534" i="37"/>
  <c r="K535" i="37"/>
  <c r="K536" i="37"/>
  <c r="K537" i="37"/>
  <c r="K538" i="37"/>
  <c r="K539" i="37"/>
  <c r="K540" i="37"/>
  <c r="K541" i="37"/>
  <c r="K542" i="37"/>
  <c r="K543" i="37"/>
  <c r="K544" i="37"/>
  <c r="K545" i="37"/>
  <c r="K546" i="37"/>
  <c r="K547" i="37"/>
  <c r="K548" i="37"/>
  <c r="K549" i="37"/>
  <c r="K550" i="37"/>
  <c r="K551" i="37"/>
  <c r="K552" i="37"/>
  <c r="K553" i="37"/>
  <c r="K554" i="37"/>
  <c r="K555" i="37"/>
  <c r="K556" i="37"/>
  <c r="K557" i="37"/>
  <c r="K558" i="37"/>
  <c r="K559" i="37"/>
  <c r="K560" i="37"/>
  <c r="K561" i="37"/>
  <c r="K562" i="37"/>
  <c r="K563" i="37"/>
  <c r="K564" i="37"/>
  <c r="K565" i="37"/>
  <c r="K566" i="37"/>
  <c r="K567" i="37"/>
  <c r="K568" i="37"/>
  <c r="K569" i="37"/>
  <c r="K570" i="37"/>
  <c r="K571" i="37"/>
  <c r="K572" i="37"/>
  <c r="K573" i="37"/>
  <c r="K574" i="37"/>
  <c r="K575" i="37"/>
  <c r="K576" i="37"/>
  <c r="K577" i="37"/>
  <c r="K578" i="37"/>
  <c r="K579" i="37"/>
  <c r="K580" i="37"/>
  <c r="K581" i="37"/>
  <c r="K582" i="37"/>
  <c r="K583" i="37"/>
  <c r="K584" i="37"/>
  <c r="K585" i="37"/>
  <c r="K586" i="37"/>
  <c r="K587" i="37"/>
  <c r="K588" i="37"/>
  <c r="K589" i="37"/>
  <c r="K590" i="37"/>
  <c r="K591" i="37"/>
  <c r="K592" i="37"/>
  <c r="K593" i="37"/>
  <c r="K594" i="37"/>
  <c r="K595" i="37"/>
  <c r="K596" i="37"/>
  <c r="K597" i="37"/>
  <c r="K598" i="37"/>
  <c r="K599" i="37"/>
  <c r="K600" i="37"/>
  <c r="K601" i="37"/>
  <c r="K602" i="37"/>
  <c r="K603" i="37"/>
  <c r="K604" i="37"/>
  <c r="K605" i="37"/>
  <c r="K606" i="37"/>
  <c r="K607" i="37"/>
  <c r="K608" i="37"/>
  <c r="K609" i="37"/>
  <c r="K610" i="37"/>
  <c r="K611" i="37"/>
  <c r="K612" i="37"/>
  <c r="K613" i="37"/>
  <c r="K614" i="37"/>
  <c r="K615" i="37"/>
  <c r="K616" i="37"/>
  <c r="K617" i="37"/>
  <c r="K618" i="37"/>
  <c r="K619" i="37"/>
  <c r="K620" i="37"/>
  <c r="K621" i="37"/>
  <c r="K622" i="37"/>
  <c r="K623" i="37"/>
  <c r="K624" i="37"/>
  <c r="K625" i="37"/>
  <c r="K626" i="37"/>
  <c r="K627" i="37"/>
  <c r="K628" i="37"/>
  <c r="K629" i="37"/>
  <c r="K630" i="37"/>
  <c r="K631" i="37"/>
  <c r="K632" i="37"/>
  <c r="K633" i="37"/>
  <c r="K634" i="37"/>
  <c r="K635" i="37"/>
  <c r="K636" i="37"/>
  <c r="K637" i="37"/>
  <c r="K638" i="37"/>
  <c r="K639" i="37"/>
  <c r="K640" i="37"/>
  <c r="K641" i="37"/>
  <c r="K642" i="37"/>
  <c r="K643" i="37"/>
  <c r="K644" i="37"/>
  <c r="K645" i="37"/>
  <c r="K646" i="37"/>
  <c r="K647" i="37"/>
  <c r="K648" i="37"/>
  <c r="K649" i="37"/>
  <c r="K650" i="37"/>
  <c r="K651" i="37"/>
  <c r="K652" i="37"/>
  <c r="K653" i="37"/>
  <c r="K654" i="37"/>
  <c r="K655" i="37"/>
  <c r="K656" i="37"/>
  <c r="K657" i="37"/>
  <c r="K658" i="37"/>
  <c r="K659" i="37"/>
  <c r="K660" i="37"/>
  <c r="K661" i="37"/>
  <c r="K662" i="37"/>
  <c r="K663" i="37"/>
  <c r="K664" i="37"/>
  <c r="K665" i="37"/>
  <c r="K666" i="37"/>
  <c r="K667" i="37"/>
  <c r="K668" i="37"/>
  <c r="K669" i="37"/>
  <c r="K670" i="37"/>
  <c r="K671" i="37"/>
  <c r="K672" i="37"/>
  <c r="K673" i="37"/>
  <c r="K674" i="37"/>
  <c r="K675" i="37"/>
  <c r="K676" i="37"/>
  <c r="K677" i="37"/>
  <c r="K678" i="37"/>
  <c r="K679" i="37"/>
  <c r="K680" i="37"/>
  <c r="K681" i="37"/>
  <c r="K682" i="37"/>
  <c r="K683" i="37"/>
  <c r="K684" i="37"/>
  <c r="K685" i="37"/>
  <c r="K686" i="37"/>
  <c r="K687" i="37"/>
  <c r="K688" i="37"/>
  <c r="K689" i="37"/>
  <c r="K690" i="37"/>
  <c r="K691" i="37"/>
  <c r="K692" i="37"/>
  <c r="K693" i="37"/>
  <c r="K694" i="37"/>
  <c r="K695" i="37"/>
  <c r="K696" i="37"/>
  <c r="K697" i="37"/>
  <c r="K698" i="37"/>
  <c r="K699" i="37"/>
  <c r="K700" i="37"/>
  <c r="K701" i="37"/>
  <c r="K702" i="37"/>
  <c r="K703" i="37"/>
  <c r="K704" i="37"/>
  <c r="K705" i="37"/>
  <c r="K706" i="37"/>
  <c r="K707" i="37"/>
  <c r="K708" i="37"/>
  <c r="K709" i="37"/>
  <c r="K710" i="37"/>
  <c r="K711" i="37"/>
  <c r="K712" i="37"/>
  <c r="K713" i="37"/>
  <c r="K714" i="37"/>
  <c r="K715" i="37"/>
  <c r="K716" i="37"/>
  <c r="K717" i="37"/>
  <c r="K718" i="37"/>
  <c r="K719" i="37"/>
  <c r="K720" i="37"/>
  <c r="K721" i="37"/>
  <c r="K722" i="37"/>
  <c r="K723" i="37"/>
  <c r="K724" i="37"/>
  <c r="K725" i="37"/>
  <c r="K726" i="37"/>
  <c r="K727" i="37"/>
  <c r="K728" i="37"/>
  <c r="K729" i="37"/>
  <c r="K730" i="37"/>
  <c r="K731" i="37"/>
  <c r="K732" i="37"/>
  <c r="K733" i="37"/>
  <c r="K734" i="37"/>
  <c r="K735" i="37"/>
  <c r="K736" i="37"/>
  <c r="K737" i="37"/>
  <c r="K738" i="37"/>
  <c r="K739" i="37"/>
  <c r="K740" i="37"/>
  <c r="K741" i="37"/>
  <c r="K742" i="37"/>
  <c r="K743" i="37"/>
  <c r="K744" i="37"/>
  <c r="K745" i="37"/>
  <c r="K746" i="37"/>
  <c r="K747" i="37"/>
  <c r="K748" i="37"/>
  <c r="K749" i="37"/>
  <c r="K750" i="37"/>
  <c r="K751" i="37"/>
  <c r="K752" i="37"/>
  <c r="K753" i="37"/>
  <c r="K754" i="37"/>
  <c r="K755" i="37"/>
  <c r="K756" i="37"/>
  <c r="K757" i="37"/>
  <c r="K758" i="37"/>
  <c r="K759" i="37"/>
  <c r="K760" i="37"/>
  <c r="K761" i="37"/>
  <c r="K762" i="37"/>
  <c r="K763" i="37"/>
  <c r="K764" i="37"/>
  <c r="K765" i="37"/>
  <c r="K766" i="37"/>
  <c r="K767" i="37"/>
  <c r="K768" i="37"/>
  <c r="K769" i="37"/>
  <c r="K770" i="37"/>
  <c r="K771" i="37"/>
  <c r="K772" i="37"/>
  <c r="K773" i="37"/>
  <c r="K774" i="37"/>
  <c r="K775" i="37"/>
  <c r="K776" i="37"/>
  <c r="K777" i="37"/>
  <c r="K778" i="37"/>
  <c r="K779" i="37"/>
  <c r="K780" i="37"/>
  <c r="K781" i="37"/>
  <c r="K782" i="37"/>
  <c r="K783" i="37"/>
  <c r="K784" i="37"/>
  <c r="K785" i="37"/>
  <c r="K786" i="37"/>
  <c r="K787" i="37"/>
  <c r="K788" i="37"/>
  <c r="K789" i="37"/>
  <c r="K790" i="37"/>
  <c r="K791" i="37"/>
  <c r="K792" i="37"/>
  <c r="K793" i="37"/>
  <c r="K794" i="37"/>
  <c r="K795" i="37"/>
  <c r="K796" i="37"/>
  <c r="K797" i="37"/>
  <c r="K798" i="37"/>
  <c r="K799" i="37"/>
  <c r="K800" i="37"/>
  <c r="K801" i="37"/>
  <c r="K802" i="37"/>
  <c r="K803" i="37"/>
  <c r="K804" i="37"/>
  <c r="K805" i="37"/>
  <c r="K806" i="37"/>
  <c r="K807" i="37"/>
  <c r="K808" i="37"/>
  <c r="K809" i="37"/>
  <c r="K810" i="37"/>
  <c r="K811" i="37"/>
  <c r="K812" i="37"/>
  <c r="K813" i="37"/>
  <c r="K814" i="37"/>
  <c r="K815" i="37"/>
  <c r="K816" i="37"/>
  <c r="K817" i="37"/>
  <c r="K818" i="37"/>
  <c r="K819" i="37"/>
  <c r="K820" i="37"/>
  <c r="K821" i="37"/>
  <c r="K822" i="37"/>
  <c r="K823" i="37"/>
  <c r="K824" i="37"/>
  <c r="K825" i="37"/>
  <c r="K826" i="37"/>
  <c r="K827" i="37"/>
  <c r="K828" i="37"/>
  <c r="K829" i="37"/>
  <c r="K830" i="37"/>
  <c r="K831" i="37"/>
  <c r="K832" i="37"/>
  <c r="K833" i="37"/>
  <c r="K834" i="37"/>
  <c r="K835" i="37"/>
  <c r="K836" i="37"/>
  <c r="K837" i="37"/>
  <c r="K838" i="37"/>
  <c r="K839" i="37"/>
  <c r="K840" i="37"/>
  <c r="K841" i="37"/>
  <c r="K842" i="37"/>
  <c r="K843" i="37"/>
  <c r="K844" i="37"/>
  <c r="K845" i="37"/>
  <c r="K846" i="37"/>
  <c r="K847" i="37"/>
  <c r="K848" i="37"/>
  <c r="K849" i="37"/>
  <c r="K850" i="37"/>
  <c r="K851" i="37"/>
  <c r="K852" i="37"/>
  <c r="K853" i="37"/>
  <c r="K854" i="37"/>
  <c r="K855" i="37"/>
  <c r="K856" i="37"/>
  <c r="K857" i="37"/>
  <c r="K858" i="37"/>
  <c r="K859" i="37"/>
  <c r="K860" i="37"/>
  <c r="K861" i="37"/>
  <c r="K862" i="37"/>
  <c r="K863" i="37"/>
  <c r="K864" i="37"/>
  <c r="K865" i="37"/>
  <c r="K866" i="37"/>
  <c r="K867" i="37"/>
  <c r="K868" i="37"/>
  <c r="K869" i="37"/>
  <c r="K870" i="37"/>
  <c r="K871" i="37"/>
  <c r="K872" i="37"/>
  <c r="K873" i="37"/>
  <c r="K874" i="37"/>
  <c r="K875" i="37"/>
  <c r="K876" i="37"/>
  <c r="K877" i="37"/>
  <c r="K878" i="37"/>
  <c r="K879" i="37"/>
  <c r="K880" i="37"/>
  <c r="K881" i="37"/>
  <c r="J5" i="37"/>
  <c r="J6" i="37"/>
  <c r="J7" i="37"/>
  <c r="J8" i="37"/>
  <c r="J9" i="37"/>
  <c r="J10" i="37"/>
  <c r="J11" i="37"/>
  <c r="J12" i="37"/>
  <c r="J13" i="37"/>
  <c r="J14" i="37"/>
  <c r="J15" i="37"/>
  <c r="J16" i="37"/>
  <c r="J17" i="37"/>
  <c r="J18" i="37"/>
  <c r="J19" i="37"/>
  <c r="J20" i="37"/>
  <c r="J21" i="37"/>
  <c r="J22" i="37"/>
  <c r="J23" i="37"/>
  <c r="J24" i="37"/>
  <c r="J25" i="37"/>
  <c r="J26" i="37"/>
  <c r="J27" i="37"/>
  <c r="J28" i="37"/>
  <c r="J29" i="37"/>
  <c r="J30" i="37"/>
  <c r="J31" i="37"/>
  <c r="J32" i="37"/>
  <c r="J33" i="37"/>
  <c r="J34" i="37"/>
  <c r="J35" i="37"/>
  <c r="J36" i="37"/>
  <c r="J37" i="37"/>
  <c r="J38" i="37"/>
  <c r="J39" i="37"/>
  <c r="J40" i="37"/>
  <c r="J41" i="37"/>
  <c r="J42" i="37"/>
  <c r="J43" i="37"/>
  <c r="J44" i="37"/>
  <c r="J45" i="37"/>
  <c r="J46" i="37"/>
  <c r="J47" i="37"/>
  <c r="J48" i="37"/>
  <c r="J49" i="37"/>
  <c r="J50" i="37"/>
  <c r="J51" i="37"/>
  <c r="J52" i="37"/>
  <c r="J53" i="37"/>
  <c r="J54" i="37"/>
  <c r="J55"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1" i="37"/>
  <c r="J92" i="37"/>
  <c r="J93" i="37"/>
  <c r="J94" i="37"/>
  <c r="J95" i="37"/>
  <c r="J96" i="37"/>
  <c r="J97" i="37"/>
  <c r="J98" i="37"/>
  <c r="J99" i="37"/>
  <c r="J100" i="37"/>
  <c r="J101" i="37"/>
  <c r="J102" i="37"/>
  <c r="J103" i="37"/>
  <c r="J104" i="37"/>
  <c r="J105" i="37"/>
  <c r="J106" i="37"/>
  <c r="J107" i="37"/>
  <c r="J108" i="37"/>
  <c r="J109" i="37"/>
  <c r="J110" i="37"/>
  <c r="J111" i="37"/>
  <c r="J112" i="37"/>
  <c r="J113" i="37"/>
  <c r="J114" i="37"/>
  <c r="J115" i="37"/>
  <c r="J116" i="37"/>
  <c r="J117" i="37"/>
  <c r="J118" i="37"/>
  <c r="J119" i="37"/>
  <c r="J120" i="37"/>
  <c r="J121" i="37"/>
  <c r="J122" i="37"/>
  <c r="J123" i="37"/>
  <c r="J124" i="37"/>
  <c r="J125" i="37"/>
  <c r="J126" i="37"/>
  <c r="J127" i="37"/>
  <c r="J128" i="37"/>
  <c r="J129" i="37"/>
  <c r="J130" i="37"/>
  <c r="J131" i="37"/>
  <c r="J132" i="37"/>
  <c r="J133" i="37"/>
  <c r="J134" i="37"/>
  <c r="J135" i="37"/>
  <c r="J136" i="37"/>
  <c r="J137" i="37"/>
  <c r="J138" i="37"/>
  <c r="J139" i="37"/>
  <c r="J140" i="37"/>
  <c r="J141" i="37"/>
  <c r="J142" i="37"/>
  <c r="J143" i="37"/>
  <c r="J144" i="37"/>
  <c r="J145" i="37"/>
  <c r="J146" i="37"/>
  <c r="J147" i="37"/>
  <c r="J148" i="37"/>
  <c r="J149" i="37"/>
  <c r="J150" i="37"/>
  <c r="J151" i="37"/>
  <c r="J152" i="37"/>
  <c r="J153" i="37"/>
  <c r="J154" i="37"/>
  <c r="J155" i="37"/>
  <c r="J156" i="37"/>
  <c r="J157" i="37"/>
  <c r="J158" i="37"/>
  <c r="J159" i="37"/>
  <c r="J160" i="37"/>
  <c r="J161" i="37"/>
  <c r="J162" i="37"/>
  <c r="J163" i="37"/>
  <c r="J164" i="37"/>
  <c r="J165" i="37"/>
  <c r="J166" i="37"/>
  <c r="J167" i="37"/>
  <c r="J168" i="37"/>
  <c r="J169" i="37"/>
  <c r="J170" i="37"/>
  <c r="J171" i="37"/>
  <c r="J172" i="37"/>
  <c r="J173" i="37"/>
  <c r="J174" i="37"/>
  <c r="J175" i="37"/>
  <c r="J176" i="37"/>
  <c r="J177" i="37"/>
  <c r="J178" i="37"/>
  <c r="J179" i="37"/>
  <c r="J180" i="37"/>
  <c r="J181" i="37"/>
  <c r="J182" i="37"/>
  <c r="J183" i="37"/>
  <c r="J184" i="37"/>
  <c r="J185" i="37"/>
  <c r="J186" i="37"/>
  <c r="J187" i="37"/>
  <c r="J188" i="37"/>
  <c r="J189" i="37"/>
  <c r="J190" i="37"/>
  <c r="J191" i="37"/>
  <c r="J192" i="37"/>
  <c r="J193" i="37"/>
  <c r="J194" i="37"/>
  <c r="J195" i="37"/>
  <c r="J196" i="37"/>
  <c r="J197" i="37"/>
  <c r="J198" i="37"/>
  <c r="J199" i="37"/>
  <c r="J200" i="37"/>
  <c r="J201" i="37"/>
  <c r="J202" i="37"/>
  <c r="J203" i="37"/>
  <c r="J204" i="37"/>
  <c r="J205" i="37"/>
  <c r="J206" i="37"/>
  <c r="J207" i="37"/>
  <c r="J208" i="37"/>
  <c r="J209" i="37"/>
  <c r="J210" i="37"/>
  <c r="J211" i="37"/>
  <c r="J212" i="37"/>
  <c r="J213" i="37"/>
  <c r="J214" i="37"/>
  <c r="J215" i="37"/>
  <c r="J216" i="37"/>
  <c r="J217" i="37"/>
  <c r="J218" i="37"/>
  <c r="J219" i="37"/>
  <c r="J220" i="37"/>
  <c r="J221" i="37"/>
  <c r="J222" i="37"/>
  <c r="J223" i="37"/>
  <c r="J224" i="37"/>
  <c r="J225" i="37"/>
  <c r="J226" i="37"/>
  <c r="J227" i="37"/>
  <c r="J228" i="37"/>
  <c r="J229" i="37"/>
  <c r="J230" i="37"/>
  <c r="J231" i="37"/>
  <c r="J232" i="37"/>
  <c r="J233" i="37"/>
  <c r="J234" i="37"/>
  <c r="J235" i="37"/>
  <c r="J236" i="37"/>
  <c r="J237" i="37"/>
  <c r="J238" i="37"/>
  <c r="J239" i="37"/>
  <c r="J240" i="37"/>
  <c r="J241" i="37"/>
  <c r="J242" i="37"/>
  <c r="J243" i="37"/>
  <c r="J244" i="37"/>
  <c r="J245" i="37"/>
  <c r="J246" i="37"/>
  <c r="J247" i="37"/>
  <c r="J248" i="37"/>
  <c r="J249" i="37"/>
  <c r="J250" i="37"/>
  <c r="J251" i="37"/>
  <c r="J252" i="37"/>
  <c r="J253" i="37"/>
  <c r="J254" i="37"/>
  <c r="J255" i="37"/>
  <c r="J256" i="37"/>
  <c r="J257" i="37"/>
  <c r="J258" i="37"/>
  <c r="J259" i="37"/>
  <c r="J260" i="37"/>
  <c r="J261" i="37"/>
  <c r="J262" i="37"/>
  <c r="J263" i="37"/>
  <c r="J264" i="37"/>
  <c r="J265" i="37"/>
  <c r="J266" i="37"/>
  <c r="J267" i="37"/>
  <c r="J268" i="37"/>
  <c r="J269" i="37"/>
  <c r="J270" i="37"/>
  <c r="J271" i="37"/>
  <c r="J272" i="37"/>
  <c r="J273" i="37"/>
  <c r="J274" i="37"/>
  <c r="J275" i="37"/>
  <c r="J276" i="37"/>
  <c r="J277" i="37"/>
  <c r="J278" i="37"/>
  <c r="J279" i="37"/>
  <c r="J280" i="37"/>
  <c r="J281" i="37"/>
  <c r="J282" i="37"/>
  <c r="J283" i="37"/>
  <c r="J284" i="37"/>
  <c r="J285" i="37"/>
  <c r="J286" i="37"/>
  <c r="J287" i="37"/>
  <c r="J288" i="37"/>
  <c r="J289" i="37"/>
  <c r="J290" i="37"/>
  <c r="J291" i="37"/>
  <c r="J292" i="37"/>
  <c r="J293" i="37"/>
  <c r="J294" i="37"/>
  <c r="J295" i="37"/>
  <c r="J296" i="37"/>
  <c r="J297" i="37"/>
  <c r="J298" i="37"/>
  <c r="J299" i="37"/>
  <c r="J300" i="37"/>
  <c r="J301" i="37"/>
  <c r="J302" i="37"/>
  <c r="J303" i="37"/>
  <c r="J304" i="37"/>
  <c r="J305" i="37"/>
  <c r="J306" i="37"/>
  <c r="J307" i="37"/>
  <c r="J308" i="37"/>
  <c r="J309" i="37"/>
  <c r="J310" i="37"/>
  <c r="J311" i="37"/>
  <c r="J312" i="37"/>
  <c r="J313" i="37"/>
  <c r="J314" i="37"/>
  <c r="J315" i="37"/>
  <c r="J316" i="37"/>
  <c r="J317" i="37"/>
  <c r="J318" i="37"/>
  <c r="J319" i="37"/>
  <c r="J320" i="37"/>
  <c r="J321" i="37"/>
  <c r="J322" i="37"/>
  <c r="J323" i="37"/>
  <c r="J324" i="37"/>
  <c r="J325" i="37"/>
  <c r="J326" i="37"/>
  <c r="J327" i="37"/>
  <c r="J328" i="37"/>
  <c r="J329" i="37"/>
  <c r="J330" i="37"/>
  <c r="J331" i="37"/>
  <c r="J332" i="37"/>
  <c r="J333" i="37"/>
  <c r="J334" i="37"/>
  <c r="J335" i="37"/>
  <c r="J336" i="37"/>
  <c r="J337" i="37"/>
  <c r="J338" i="37"/>
  <c r="J339" i="37"/>
  <c r="J340" i="37"/>
  <c r="J341" i="37"/>
  <c r="J342" i="37"/>
  <c r="J343" i="37"/>
  <c r="J344" i="37"/>
  <c r="J345" i="37"/>
  <c r="J346" i="37"/>
  <c r="J347" i="37"/>
  <c r="J348" i="37"/>
  <c r="J349" i="37"/>
  <c r="J350" i="37"/>
  <c r="J351" i="37"/>
  <c r="J352" i="37"/>
  <c r="J353" i="37"/>
  <c r="J354" i="37"/>
  <c r="J355" i="37"/>
  <c r="J356" i="37"/>
  <c r="J357" i="37"/>
  <c r="J358" i="37"/>
  <c r="J359" i="37"/>
  <c r="J360" i="37"/>
  <c r="J361" i="37"/>
  <c r="J362" i="37"/>
  <c r="J363" i="37"/>
  <c r="J364" i="37"/>
  <c r="J365" i="37"/>
  <c r="J366" i="37"/>
  <c r="J367" i="37"/>
  <c r="J368" i="37"/>
  <c r="J369" i="37"/>
  <c r="J370" i="37"/>
  <c r="J371" i="37"/>
  <c r="J372" i="37"/>
  <c r="J373" i="37"/>
  <c r="J374" i="37"/>
  <c r="J375" i="37"/>
  <c r="J376" i="37"/>
  <c r="J377" i="37"/>
  <c r="J378" i="37"/>
  <c r="J379" i="37"/>
  <c r="J380" i="37"/>
  <c r="J381" i="37"/>
  <c r="J382" i="37"/>
  <c r="J383" i="37"/>
  <c r="J384" i="37"/>
  <c r="J385" i="37"/>
  <c r="J386" i="37"/>
  <c r="J387" i="37"/>
  <c r="J388" i="37"/>
  <c r="J389" i="37"/>
  <c r="J390" i="37"/>
  <c r="J391" i="37"/>
  <c r="J392" i="37"/>
  <c r="J393" i="37"/>
  <c r="J394" i="37"/>
  <c r="J395" i="37"/>
  <c r="J396" i="37"/>
  <c r="J397" i="37"/>
  <c r="J398" i="37"/>
  <c r="J399" i="37"/>
  <c r="J400" i="37"/>
  <c r="J401" i="37"/>
  <c r="J402" i="37"/>
  <c r="J403" i="37"/>
  <c r="J404" i="37"/>
  <c r="J405" i="37"/>
  <c r="J406" i="37"/>
  <c r="J407" i="37"/>
  <c r="J408" i="37"/>
  <c r="J409" i="37"/>
  <c r="J410" i="37"/>
  <c r="J411" i="37"/>
  <c r="J412" i="37"/>
  <c r="J413" i="37"/>
  <c r="J414" i="37"/>
  <c r="J415" i="37"/>
  <c r="J416" i="37"/>
  <c r="J417" i="37"/>
  <c r="J418" i="37"/>
  <c r="J419" i="37"/>
  <c r="J420" i="37"/>
  <c r="J421" i="37"/>
  <c r="J422" i="37"/>
  <c r="J423" i="37"/>
  <c r="J424" i="37"/>
  <c r="J425" i="37"/>
  <c r="J426" i="37"/>
  <c r="J427" i="37"/>
  <c r="J428" i="37"/>
  <c r="J429" i="37"/>
  <c r="J430" i="37"/>
  <c r="J431" i="37"/>
  <c r="J432" i="37"/>
  <c r="J433" i="37"/>
  <c r="J434" i="37"/>
  <c r="J435" i="37"/>
  <c r="J436" i="37"/>
  <c r="J437" i="37"/>
  <c r="J438" i="37"/>
  <c r="J439" i="37"/>
  <c r="J440" i="37"/>
  <c r="J441" i="37"/>
  <c r="J442" i="37"/>
  <c r="J443" i="37"/>
  <c r="J444" i="37"/>
  <c r="J445" i="37"/>
  <c r="J446" i="37"/>
  <c r="J447" i="37"/>
  <c r="J448" i="37"/>
  <c r="J449" i="37"/>
  <c r="J450" i="37"/>
  <c r="J451" i="37"/>
  <c r="J452" i="37"/>
  <c r="J453" i="37"/>
  <c r="J454" i="37"/>
  <c r="J455" i="37"/>
  <c r="J456" i="37"/>
  <c r="J457" i="37"/>
  <c r="J458" i="37"/>
  <c r="J459" i="37"/>
  <c r="J460" i="37"/>
  <c r="J461" i="37"/>
  <c r="J462" i="37"/>
  <c r="J463" i="37"/>
  <c r="J464" i="37"/>
  <c r="J465" i="37"/>
  <c r="J466" i="37"/>
  <c r="J467" i="37"/>
  <c r="J468" i="37"/>
  <c r="J469" i="37"/>
  <c r="J470" i="37"/>
  <c r="J471" i="37"/>
  <c r="J472" i="37"/>
  <c r="J473" i="37"/>
  <c r="J474" i="37"/>
  <c r="J475" i="37"/>
  <c r="J476" i="37"/>
  <c r="J477" i="37"/>
  <c r="J478" i="37"/>
  <c r="J479" i="37"/>
  <c r="J480" i="37"/>
  <c r="J481" i="37"/>
  <c r="J482" i="37"/>
  <c r="J483" i="37"/>
  <c r="J484" i="37"/>
  <c r="J485" i="37"/>
  <c r="J486" i="37"/>
  <c r="J487" i="37"/>
  <c r="J488" i="37"/>
  <c r="J489" i="37"/>
  <c r="J490" i="37"/>
  <c r="J491" i="37"/>
  <c r="J492" i="37"/>
  <c r="J493" i="37"/>
  <c r="J494" i="37"/>
  <c r="J495" i="37"/>
  <c r="J496" i="37"/>
  <c r="J497" i="37"/>
  <c r="J498" i="37"/>
  <c r="J499" i="37"/>
  <c r="J500" i="37"/>
  <c r="J501" i="37"/>
  <c r="J502" i="37"/>
  <c r="J503" i="37"/>
  <c r="J504" i="37"/>
  <c r="J505" i="37"/>
  <c r="J506" i="37"/>
  <c r="J507" i="37"/>
  <c r="J508" i="37"/>
  <c r="J509" i="37"/>
  <c r="J510" i="37"/>
  <c r="J511" i="37"/>
  <c r="J512" i="37"/>
  <c r="J513" i="37"/>
  <c r="J514" i="37"/>
  <c r="J515" i="37"/>
  <c r="J516" i="37"/>
  <c r="J517" i="37"/>
  <c r="J518" i="37"/>
  <c r="J519" i="37"/>
  <c r="J520" i="37"/>
  <c r="J521" i="37"/>
  <c r="J522" i="37"/>
  <c r="J523" i="37"/>
  <c r="J524" i="37"/>
  <c r="J525" i="37"/>
  <c r="J526" i="37"/>
  <c r="J527" i="37"/>
  <c r="J528" i="37"/>
  <c r="J529" i="37"/>
  <c r="J530" i="37"/>
  <c r="J531" i="37"/>
  <c r="J532" i="37"/>
  <c r="J533" i="37"/>
  <c r="J534" i="37"/>
  <c r="J535" i="37"/>
  <c r="J536" i="37"/>
  <c r="J537" i="37"/>
  <c r="J538" i="37"/>
  <c r="J539" i="37"/>
  <c r="J540" i="37"/>
  <c r="J541" i="37"/>
  <c r="J542" i="37"/>
  <c r="J543" i="37"/>
  <c r="J544" i="37"/>
  <c r="J545" i="37"/>
  <c r="J546" i="37"/>
  <c r="J547" i="37"/>
  <c r="J548" i="37"/>
  <c r="J549" i="37"/>
  <c r="J550" i="37"/>
  <c r="J551" i="37"/>
  <c r="J552" i="37"/>
  <c r="J553" i="37"/>
  <c r="J554" i="37"/>
  <c r="J555" i="37"/>
  <c r="J556" i="37"/>
  <c r="J557" i="37"/>
  <c r="J558" i="37"/>
  <c r="J559" i="37"/>
  <c r="J560" i="37"/>
  <c r="J561" i="37"/>
  <c r="J562" i="37"/>
  <c r="J563" i="37"/>
  <c r="J564" i="37"/>
  <c r="J565" i="37"/>
  <c r="J566" i="37"/>
  <c r="J567" i="37"/>
  <c r="J568" i="37"/>
  <c r="J569" i="37"/>
  <c r="J570" i="37"/>
  <c r="J571" i="37"/>
  <c r="J572" i="37"/>
  <c r="J573" i="37"/>
  <c r="J574" i="37"/>
  <c r="J575" i="37"/>
  <c r="J576" i="37"/>
  <c r="J577" i="37"/>
  <c r="J578" i="37"/>
  <c r="J579" i="37"/>
  <c r="J580" i="37"/>
  <c r="J581" i="37"/>
  <c r="J582" i="37"/>
  <c r="J583" i="37"/>
  <c r="J584" i="37"/>
  <c r="J585" i="37"/>
  <c r="J586" i="37"/>
  <c r="J587" i="37"/>
  <c r="J588" i="37"/>
  <c r="J589" i="37"/>
  <c r="J590" i="37"/>
  <c r="J591" i="37"/>
  <c r="J592" i="37"/>
  <c r="J593" i="37"/>
  <c r="J594" i="37"/>
  <c r="J595" i="37"/>
  <c r="J596" i="37"/>
  <c r="J597" i="37"/>
  <c r="J598" i="37"/>
  <c r="J599" i="37"/>
  <c r="J600" i="37"/>
  <c r="J601" i="37"/>
  <c r="J602" i="37"/>
  <c r="J603" i="37"/>
  <c r="J604" i="37"/>
  <c r="J605" i="37"/>
  <c r="J606" i="37"/>
  <c r="J607" i="37"/>
  <c r="J608" i="37"/>
  <c r="J609" i="37"/>
  <c r="J610" i="37"/>
  <c r="J611" i="37"/>
  <c r="J612" i="37"/>
  <c r="J613" i="37"/>
  <c r="J614" i="37"/>
  <c r="J615" i="37"/>
  <c r="J616" i="37"/>
  <c r="J617" i="37"/>
  <c r="J618" i="37"/>
  <c r="J619" i="37"/>
  <c r="J620" i="37"/>
  <c r="J621" i="37"/>
  <c r="J622" i="37"/>
  <c r="J623" i="37"/>
  <c r="J624" i="37"/>
  <c r="J625" i="37"/>
  <c r="J626" i="37"/>
  <c r="J627" i="37"/>
  <c r="J628" i="37"/>
  <c r="J629" i="37"/>
  <c r="J630" i="37"/>
  <c r="J631" i="37"/>
  <c r="J632" i="37"/>
  <c r="J633" i="37"/>
  <c r="J634" i="37"/>
  <c r="J635" i="37"/>
  <c r="J636" i="37"/>
  <c r="J637" i="37"/>
  <c r="J638" i="37"/>
  <c r="J639" i="37"/>
  <c r="J640" i="37"/>
  <c r="J641" i="37"/>
  <c r="J642" i="37"/>
  <c r="J643" i="37"/>
  <c r="J644" i="37"/>
  <c r="J645" i="37"/>
  <c r="J646" i="37"/>
  <c r="J647" i="37"/>
  <c r="J648" i="37"/>
  <c r="J649" i="37"/>
  <c r="J650" i="37"/>
  <c r="J651" i="37"/>
  <c r="J652" i="37"/>
  <c r="J653" i="37"/>
  <c r="J654" i="37"/>
  <c r="J655" i="37"/>
  <c r="J656" i="37"/>
  <c r="J657" i="37"/>
  <c r="J658" i="37"/>
  <c r="J659" i="37"/>
  <c r="J660" i="37"/>
  <c r="J661" i="37"/>
  <c r="J662" i="37"/>
  <c r="J663" i="37"/>
  <c r="J664" i="37"/>
  <c r="J665" i="37"/>
  <c r="J666" i="37"/>
  <c r="J667" i="37"/>
  <c r="J668" i="37"/>
  <c r="J669" i="37"/>
  <c r="J670" i="37"/>
  <c r="J671" i="37"/>
  <c r="J672" i="37"/>
  <c r="J673" i="37"/>
  <c r="J674" i="37"/>
  <c r="J675" i="37"/>
  <c r="J676" i="37"/>
  <c r="J677" i="37"/>
  <c r="J678" i="37"/>
  <c r="J679" i="37"/>
  <c r="J680" i="37"/>
  <c r="J681" i="37"/>
  <c r="J682" i="37"/>
  <c r="J683" i="37"/>
  <c r="J684" i="37"/>
  <c r="J685" i="37"/>
  <c r="J686" i="37"/>
  <c r="J687" i="37"/>
  <c r="J688" i="37"/>
  <c r="J689" i="37"/>
  <c r="J690" i="37"/>
  <c r="J691" i="37"/>
  <c r="J692" i="37"/>
  <c r="J693" i="37"/>
  <c r="J694" i="37"/>
  <c r="J695" i="37"/>
  <c r="J696" i="37"/>
  <c r="J697" i="37"/>
  <c r="J698" i="37"/>
  <c r="J699" i="37"/>
  <c r="J700" i="37"/>
  <c r="J701" i="37"/>
  <c r="J702" i="37"/>
  <c r="J703" i="37"/>
  <c r="J704" i="37"/>
  <c r="J705" i="37"/>
  <c r="J706" i="37"/>
  <c r="J707" i="37"/>
  <c r="J708" i="37"/>
  <c r="J709" i="37"/>
  <c r="J710" i="37"/>
  <c r="J711" i="37"/>
  <c r="J712" i="37"/>
  <c r="J713" i="37"/>
  <c r="J714" i="37"/>
  <c r="J715" i="37"/>
  <c r="J716" i="37"/>
  <c r="J717" i="37"/>
  <c r="J718" i="37"/>
  <c r="J719" i="37"/>
  <c r="J720" i="37"/>
  <c r="J721" i="37"/>
  <c r="J722" i="37"/>
  <c r="J723" i="37"/>
  <c r="J724" i="37"/>
  <c r="J725" i="37"/>
  <c r="J726" i="37"/>
  <c r="J727" i="37"/>
  <c r="J728" i="37"/>
  <c r="J729" i="37"/>
  <c r="J730" i="37"/>
  <c r="J731" i="37"/>
  <c r="J732" i="37"/>
  <c r="J733" i="37"/>
  <c r="J734" i="37"/>
  <c r="J735" i="37"/>
  <c r="J736" i="37"/>
  <c r="J737" i="37"/>
  <c r="J738" i="37"/>
  <c r="J739" i="37"/>
  <c r="J740" i="37"/>
  <c r="J741" i="37"/>
  <c r="J742" i="37"/>
  <c r="J743" i="37"/>
  <c r="J744" i="37"/>
  <c r="J745" i="37"/>
  <c r="J746" i="37"/>
  <c r="J747" i="37"/>
  <c r="J748" i="37"/>
  <c r="J749" i="37"/>
  <c r="J750" i="37"/>
  <c r="J751" i="37"/>
  <c r="J752" i="37"/>
  <c r="J753" i="37"/>
  <c r="J754" i="37"/>
  <c r="J755" i="37"/>
  <c r="J756" i="37"/>
  <c r="J757" i="37"/>
  <c r="J758" i="37"/>
  <c r="J759" i="37"/>
  <c r="J760" i="37"/>
  <c r="J761" i="37"/>
  <c r="J762" i="37"/>
  <c r="J763" i="37"/>
  <c r="J764" i="37"/>
  <c r="J765" i="37"/>
  <c r="J766" i="37"/>
  <c r="J767" i="37"/>
  <c r="J768" i="37"/>
  <c r="J769" i="37"/>
  <c r="J770" i="37"/>
  <c r="J771" i="37"/>
  <c r="J772" i="37"/>
  <c r="J773" i="37"/>
  <c r="J774" i="37"/>
  <c r="J775" i="37"/>
  <c r="J776" i="37"/>
  <c r="J777" i="37"/>
  <c r="J778" i="37"/>
  <c r="J779" i="37"/>
  <c r="J780" i="37"/>
  <c r="J781" i="37"/>
  <c r="J782" i="37"/>
  <c r="J783" i="37"/>
  <c r="J784" i="37"/>
  <c r="J785" i="37"/>
  <c r="J786" i="37"/>
  <c r="J787" i="37"/>
  <c r="J788" i="37"/>
  <c r="J789" i="37"/>
  <c r="J790" i="37"/>
  <c r="J791" i="37"/>
  <c r="J792" i="37"/>
  <c r="J793" i="37"/>
  <c r="J794" i="37"/>
  <c r="J795" i="37"/>
  <c r="J796" i="37"/>
  <c r="J797" i="37"/>
  <c r="J798" i="37"/>
  <c r="J799" i="37"/>
  <c r="J800" i="37"/>
  <c r="J801" i="37"/>
  <c r="J802" i="37"/>
  <c r="J803" i="37"/>
  <c r="J804" i="37"/>
  <c r="J805" i="37"/>
  <c r="J806" i="37"/>
  <c r="J807" i="37"/>
  <c r="J808" i="37"/>
  <c r="J809" i="37"/>
  <c r="J810" i="37"/>
  <c r="J811" i="37"/>
  <c r="J812" i="37"/>
  <c r="J813" i="37"/>
  <c r="J814" i="37"/>
  <c r="J815" i="37"/>
  <c r="J816" i="37"/>
  <c r="J817" i="37"/>
  <c r="J818" i="37"/>
  <c r="J819" i="37"/>
  <c r="J820" i="37"/>
  <c r="J821" i="37"/>
  <c r="J822" i="37"/>
  <c r="J823" i="37"/>
  <c r="J824" i="37"/>
  <c r="J825" i="37"/>
  <c r="J826" i="37"/>
  <c r="J827" i="37"/>
  <c r="J828" i="37"/>
  <c r="J829" i="37"/>
  <c r="J830" i="37"/>
  <c r="J831" i="37"/>
  <c r="J832" i="37"/>
  <c r="J833" i="37"/>
  <c r="J834" i="37"/>
  <c r="J835" i="37"/>
  <c r="J836" i="37"/>
  <c r="J837" i="37"/>
  <c r="J838" i="37"/>
  <c r="J839" i="37"/>
  <c r="J840" i="37"/>
  <c r="J841" i="37"/>
  <c r="J842" i="37"/>
  <c r="J843" i="37"/>
  <c r="J844" i="37"/>
  <c r="J845" i="37"/>
  <c r="J846" i="37"/>
  <c r="J847" i="37"/>
  <c r="J848" i="37"/>
  <c r="J849" i="37"/>
  <c r="J850" i="37"/>
  <c r="J851" i="37"/>
  <c r="J852" i="37"/>
  <c r="J853" i="37"/>
  <c r="J854" i="37"/>
  <c r="J855" i="37"/>
  <c r="J856" i="37"/>
  <c r="J857" i="37"/>
  <c r="J858" i="37"/>
  <c r="J859" i="37"/>
  <c r="J860" i="37"/>
  <c r="J861" i="37"/>
  <c r="J862" i="37"/>
  <c r="J863" i="37"/>
  <c r="J864" i="37"/>
  <c r="J865" i="37"/>
  <c r="J866" i="37"/>
  <c r="J867" i="37"/>
  <c r="J868" i="37"/>
  <c r="J869" i="37"/>
  <c r="J870" i="37"/>
  <c r="J871" i="37"/>
  <c r="J872" i="37"/>
  <c r="J873" i="37"/>
  <c r="J874" i="37"/>
  <c r="J875" i="37"/>
  <c r="J876" i="37"/>
  <c r="J877" i="37"/>
  <c r="J878" i="37"/>
  <c r="J879" i="37"/>
  <c r="J880" i="37"/>
  <c r="J881" i="37"/>
  <c r="I5" i="37"/>
  <c r="I6" i="37"/>
  <c r="I7" i="37"/>
  <c r="I8" i="37"/>
  <c r="I9" i="37"/>
  <c r="I10" i="37"/>
  <c r="I11" i="37"/>
  <c r="I12" i="37"/>
  <c r="I13" i="37"/>
  <c r="I14" i="37"/>
  <c r="I15" i="37"/>
  <c r="I16" i="37"/>
  <c r="I17" i="37"/>
  <c r="I18" i="37"/>
  <c r="I19" i="37"/>
  <c r="I20" i="37"/>
  <c r="I21" i="37"/>
  <c r="I22" i="37"/>
  <c r="I23" i="37"/>
  <c r="I24" i="37"/>
  <c r="I25" i="37"/>
  <c r="I26" i="37"/>
  <c r="I27" i="37"/>
  <c r="I28" i="37"/>
  <c r="I29" i="37"/>
  <c r="I30" i="37"/>
  <c r="I31" i="37"/>
  <c r="I32" i="37"/>
  <c r="I33" i="37"/>
  <c r="I34" i="37"/>
  <c r="I35" i="37"/>
  <c r="I36" i="37"/>
  <c r="I37" i="37"/>
  <c r="I38" i="37"/>
  <c r="I39" i="37"/>
  <c r="I40"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I98" i="37"/>
  <c r="I99" i="37"/>
  <c r="I100" i="37"/>
  <c r="I101" i="37"/>
  <c r="I102" i="37"/>
  <c r="I103" i="37"/>
  <c r="I104" i="37"/>
  <c r="I105" i="37"/>
  <c r="I106" i="37"/>
  <c r="I107" i="37"/>
  <c r="I108" i="37"/>
  <c r="I109" i="37"/>
  <c r="I110" i="37"/>
  <c r="I111" i="37"/>
  <c r="I112" i="37"/>
  <c r="I113" i="37"/>
  <c r="I114" i="37"/>
  <c r="I115" i="37"/>
  <c r="I116" i="37"/>
  <c r="I117" i="37"/>
  <c r="I118" i="37"/>
  <c r="I119" i="37"/>
  <c r="I120" i="37"/>
  <c r="I121" i="37"/>
  <c r="I122" i="37"/>
  <c r="I123" i="37"/>
  <c r="I124" i="37"/>
  <c r="I125" i="37"/>
  <c r="I126" i="37"/>
  <c r="I127" i="37"/>
  <c r="I128" i="37"/>
  <c r="I129" i="37"/>
  <c r="I130" i="37"/>
  <c r="I131" i="37"/>
  <c r="I132" i="37"/>
  <c r="I133" i="37"/>
  <c r="I134" i="37"/>
  <c r="I135" i="37"/>
  <c r="I136" i="37"/>
  <c r="I137" i="37"/>
  <c r="I138" i="37"/>
  <c r="I139" i="37"/>
  <c r="I140" i="37"/>
  <c r="I141" i="37"/>
  <c r="I142" i="37"/>
  <c r="I143" i="37"/>
  <c r="I144" i="37"/>
  <c r="I145" i="37"/>
  <c r="I146" i="37"/>
  <c r="I147" i="37"/>
  <c r="I148" i="37"/>
  <c r="I149" i="37"/>
  <c r="I150" i="37"/>
  <c r="I151" i="37"/>
  <c r="I152" i="37"/>
  <c r="I153" i="37"/>
  <c r="I154" i="37"/>
  <c r="I155" i="37"/>
  <c r="I156" i="37"/>
  <c r="I157" i="37"/>
  <c r="I158" i="37"/>
  <c r="I159" i="37"/>
  <c r="I160" i="37"/>
  <c r="I161" i="37"/>
  <c r="I162" i="37"/>
  <c r="I163" i="37"/>
  <c r="I164" i="37"/>
  <c r="I165" i="37"/>
  <c r="I166" i="37"/>
  <c r="I167" i="37"/>
  <c r="I168" i="37"/>
  <c r="I169" i="37"/>
  <c r="I170" i="37"/>
  <c r="I171" i="37"/>
  <c r="I172" i="37"/>
  <c r="I173" i="37"/>
  <c r="I174" i="37"/>
  <c r="I175" i="37"/>
  <c r="I176" i="37"/>
  <c r="I177" i="37"/>
  <c r="I178" i="37"/>
  <c r="I179" i="37"/>
  <c r="I180" i="37"/>
  <c r="I181" i="37"/>
  <c r="I182" i="37"/>
  <c r="I183" i="37"/>
  <c r="I184" i="37"/>
  <c r="I185" i="37"/>
  <c r="I186" i="37"/>
  <c r="I187" i="37"/>
  <c r="I188" i="37"/>
  <c r="I189" i="37"/>
  <c r="I190" i="37"/>
  <c r="I191" i="37"/>
  <c r="I192" i="37"/>
  <c r="I193" i="37"/>
  <c r="I194" i="37"/>
  <c r="I195" i="37"/>
  <c r="I196" i="37"/>
  <c r="I197" i="37"/>
  <c r="I198" i="37"/>
  <c r="I199" i="37"/>
  <c r="I200" i="37"/>
  <c r="I201" i="37"/>
  <c r="I202" i="37"/>
  <c r="I203" i="37"/>
  <c r="I204" i="37"/>
  <c r="I205" i="37"/>
  <c r="I206" i="37"/>
  <c r="I207" i="37"/>
  <c r="I208" i="37"/>
  <c r="I209" i="37"/>
  <c r="I210" i="37"/>
  <c r="I211" i="37"/>
  <c r="I212" i="37"/>
  <c r="I213" i="37"/>
  <c r="I214" i="37"/>
  <c r="I215" i="37"/>
  <c r="I216" i="37"/>
  <c r="I217" i="37"/>
  <c r="I218" i="37"/>
  <c r="I219" i="37"/>
  <c r="I220" i="37"/>
  <c r="I221" i="37"/>
  <c r="I222" i="37"/>
  <c r="I223" i="37"/>
  <c r="I224" i="37"/>
  <c r="I225" i="37"/>
  <c r="I226" i="37"/>
  <c r="I227" i="37"/>
  <c r="I228" i="37"/>
  <c r="I229" i="37"/>
  <c r="I230" i="37"/>
  <c r="I231" i="37"/>
  <c r="I232" i="37"/>
  <c r="I233" i="37"/>
  <c r="I234" i="37"/>
  <c r="I235" i="37"/>
  <c r="I236" i="37"/>
  <c r="I237" i="37"/>
  <c r="I238" i="37"/>
  <c r="I239" i="37"/>
  <c r="I240" i="37"/>
  <c r="I241" i="37"/>
  <c r="I242" i="37"/>
  <c r="I243" i="37"/>
  <c r="I244" i="37"/>
  <c r="I245" i="37"/>
  <c r="I246" i="37"/>
  <c r="I247" i="37"/>
  <c r="I248" i="37"/>
  <c r="I249" i="37"/>
  <c r="I250" i="37"/>
  <c r="I251" i="37"/>
  <c r="I252" i="37"/>
  <c r="I253" i="37"/>
  <c r="I254" i="37"/>
  <c r="I255" i="37"/>
  <c r="I256" i="37"/>
  <c r="I257" i="37"/>
  <c r="I258" i="37"/>
  <c r="I259" i="37"/>
  <c r="I260" i="37"/>
  <c r="I261" i="37"/>
  <c r="I262" i="37"/>
  <c r="I263" i="37"/>
  <c r="I264" i="37"/>
  <c r="I265" i="37"/>
  <c r="I266" i="37"/>
  <c r="I267" i="37"/>
  <c r="I268" i="37"/>
  <c r="I269" i="37"/>
  <c r="I270" i="37"/>
  <c r="I271" i="37"/>
  <c r="I272" i="37"/>
  <c r="I273" i="37"/>
  <c r="I274" i="37"/>
  <c r="I275" i="37"/>
  <c r="I276" i="37"/>
  <c r="I277" i="37"/>
  <c r="I278" i="37"/>
  <c r="I279" i="37"/>
  <c r="I280" i="37"/>
  <c r="I281" i="37"/>
  <c r="I282" i="37"/>
  <c r="I283" i="37"/>
  <c r="I284" i="37"/>
  <c r="I285" i="37"/>
  <c r="I286" i="37"/>
  <c r="I287" i="37"/>
  <c r="I288" i="37"/>
  <c r="I289" i="37"/>
  <c r="I290" i="37"/>
  <c r="I291" i="37"/>
  <c r="I292" i="37"/>
  <c r="I293" i="37"/>
  <c r="I294" i="37"/>
  <c r="I295" i="37"/>
  <c r="I296" i="37"/>
  <c r="I297" i="37"/>
  <c r="I298" i="37"/>
  <c r="I299" i="37"/>
  <c r="I300" i="37"/>
  <c r="I301" i="37"/>
  <c r="I302" i="37"/>
  <c r="I303" i="37"/>
  <c r="I304" i="37"/>
  <c r="I305" i="37"/>
  <c r="I306" i="37"/>
  <c r="I307" i="37"/>
  <c r="I308" i="37"/>
  <c r="I309" i="37"/>
  <c r="I310" i="37"/>
  <c r="I311" i="37"/>
  <c r="I312" i="37"/>
  <c r="I313" i="37"/>
  <c r="I314" i="37"/>
  <c r="I315" i="37"/>
  <c r="I316" i="37"/>
  <c r="I317" i="37"/>
  <c r="I318" i="37"/>
  <c r="I319" i="37"/>
  <c r="I320" i="37"/>
  <c r="I321" i="37"/>
  <c r="I322" i="37"/>
  <c r="I323" i="37"/>
  <c r="I324" i="37"/>
  <c r="I325" i="37"/>
  <c r="I326" i="37"/>
  <c r="I327" i="37"/>
  <c r="I328" i="37"/>
  <c r="I329" i="37"/>
  <c r="I330" i="37"/>
  <c r="I331" i="37"/>
  <c r="I332" i="37"/>
  <c r="I333" i="37"/>
  <c r="I334" i="37"/>
  <c r="I335" i="37"/>
  <c r="I336" i="37"/>
  <c r="I337" i="37"/>
  <c r="I338" i="37"/>
  <c r="I339" i="37"/>
  <c r="I340" i="37"/>
  <c r="I341" i="37"/>
  <c r="I342" i="37"/>
  <c r="I343" i="37"/>
  <c r="I344" i="37"/>
  <c r="I345" i="37"/>
  <c r="I346" i="37"/>
  <c r="I347" i="37"/>
  <c r="I348" i="37"/>
  <c r="I349" i="37"/>
  <c r="I350" i="37"/>
  <c r="I351" i="37"/>
  <c r="I352" i="37"/>
  <c r="I353" i="37"/>
  <c r="I354" i="37"/>
  <c r="I355" i="37"/>
  <c r="I356" i="37"/>
  <c r="I357" i="37"/>
  <c r="I358" i="37"/>
  <c r="I359" i="37"/>
  <c r="I360" i="37"/>
  <c r="I361" i="37"/>
  <c r="I362" i="37"/>
  <c r="I363" i="37"/>
  <c r="I364" i="37"/>
  <c r="I365" i="37"/>
  <c r="I366" i="37"/>
  <c r="I367" i="37"/>
  <c r="I368" i="37"/>
  <c r="I369" i="37"/>
  <c r="I370" i="37"/>
  <c r="I371" i="37"/>
  <c r="I372" i="37"/>
  <c r="I373" i="37"/>
  <c r="I374" i="37"/>
  <c r="I375" i="37"/>
  <c r="I376" i="37"/>
  <c r="I377" i="37"/>
  <c r="I378" i="37"/>
  <c r="I379" i="37"/>
  <c r="I380" i="37"/>
  <c r="I381" i="37"/>
  <c r="I382" i="37"/>
  <c r="I383" i="37"/>
  <c r="I384" i="37"/>
  <c r="I385" i="37"/>
  <c r="I386" i="37"/>
  <c r="I387" i="37"/>
  <c r="I388" i="37"/>
  <c r="I389" i="37"/>
  <c r="I390" i="37"/>
  <c r="I391" i="37"/>
  <c r="I392" i="37"/>
  <c r="I393" i="37"/>
  <c r="I394" i="37"/>
  <c r="I395" i="37"/>
  <c r="I396" i="37"/>
  <c r="I397" i="37"/>
  <c r="I398" i="37"/>
  <c r="I399" i="37"/>
  <c r="I400" i="37"/>
  <c r="I401" i="37"/>
  <c r="I402" i="37"/>
  <c r="I403" i="37"/>
  <c r="I404" i="37"/>
  <c r="I405" i="37"/>
  <c r="I406" i="37"/>
  <c r="I407" i="37"/>
  <c r="I408" i="37"/>
  <c r="I409" i="37"/>
  <c r="I410" i="37"/>
  <c r="I411" i="37"/>
  <c r="I412" i="37"/>
  <c r="I413" i="37"/>
  <c r="I414" i="37"/>
  <c r="I415" i="37"/>
  <c r="I416" i="37"/>
  <c r="I417" i="37"/>
  <c r="I418" i="37"/>
  <c r="I419" i="37"/>
  <c r="I420" i="37"/>
  <c r="I421" i="37"/>
  <c r="I422" i="37"/>
  <c r="I423" i="37"/>
  <c r="I424" i="37"/>
  <c r="I425" i="37"/>
  <c r="I426" i="37"/>
  <c r="I427" i="37"/>
  <c r="I428" i="37"/>
  <c r="I429" i="37"/>
  <c r="I430" i="37"/>
  <c r="I431" i="37"/>
  <c r="I432" i="37"/>
  <c r="I433" i="37"/>
  <c r="I434" i="37"/>
  <c r="I435" i="37"/>
  <c r="I436" i="37"/>
  <c r="I437" i="37"/>
  <c r="I438" i="37"/>
  <c r="I439" i="37"/>
  <c r="I440" i="37"/>
  <c r="I441" i="37"/>
  <c r="I442" i="37"/>
  <c r="I443" i="37"/>
  <c r="I444" i="37"/>
  <c r="I445" i="37"/>
  <c r="I446" i="37"/>
  <c r="I447" i="37"/>
  <c r="I448" i="37"/>
  <c r="I449" i="37"/>
  <c r="I450" i="37"/>
  <c r="I451" i="37"/>
  <c r="I452" i="37"/>
  <c r="I453" i="37"/>
  <c r="I454" i="37"/>
  <c r="I455" i="37"/>
  <c r="I456" i="37"/>
  <c r="I457" i="37"/>
  <c r="I458" i="37"/>
  <c r="I459" i="37"/>
  <c r="I460" i="37"/>
  <c r="I461" i="37"/>
  <c r="I462" i="37"/>
  <c r="I463" i="37"/>
  <c r="I464" i="37"/>
  <c r="I465" i="37"/>
  <c r="I466" i="37"/>
  <c r="I467" i="37"/>
  <c r="I468" i="37"/>
  <c r="I469" i="37"/>
  <c r="I470" i="37"/>
  <c r="I471" i="37"/>
  <c r="I472" i="37"/>
  <c r="I473" i="37"/>
  <c r="I474" i="37"/>
  <c r="I475" i="37"/>
  <c r="I476" i="37"/>
  <c r="I477" i="37"/>
  <c r="I478" i="37"/>
  <c r="I479" i="37"/>
  <c r="I480" i="37"/>
  <c r="I481" i="37"/>
  <c r="I482" i="37"/>
  <c r="I483" i="37"/>
  <c r="I484" i="37"/>
  <c r="I485" i="37"/>
  <c r="I486" i="37"/>
  <c r="I487" i="37"/>
  <c r="I488" i="37"/>
  <c r="I489" i="37"/>
  <c r="I490" i="37"/>
  <c r="I491" i="37"/>
  <c r="I492" i="37"/>
  <c r="I493" i="37"/>
  <c r="I494" i="37"/>
  <c r="I495" i="37"/>
  <c r="I496" i="37"/>
  <c r="I497" i="37"/>
  <c r="I498" i="37"/>
  <c r="I499" i="37"/>
  <c r="I500" i="37"/>
  <c r="I501" i="37"/>
  <c r="I502" i="37"/>
  <c r="I503" i="37"/>
  <c r="I504" i="37"/>
  <c r="I505" i="37"/>
  <c r="I506" i="37"/>
  <c r="I507" i="37"/>
  <c r="I508" i="37"/>
  <c r="I509" i="37"/>
  <c r="I510" i="37"/>
  <c r="I511" i="37"/>
  <c r="I512" i="37"/>
  <c r="I513" i="37"/>
  <c r="I514" i="37"/>
  <c r="I515" i="37"/>
  <c r="I516" i="37"/>
  <c r="I517" i="37"/>
  <c r="I518" i="37"/>
  <c r="I519" i="37"/>
  <c r="I520" i="37"/>
  <c r="I521" i="37"/>
  <c r="I522" i="37"/>
  <c r="I523" i="37"/>
  <c r="I524" i="37"/>
  <c r="I525" i="37"/>
  <c r="I526" i="37"/>
  <c r="I527" i="37"/>
  <c r="I528" i="37"/>
  <c r="I529" i="37"/>
  <c r="I530" i="37"/>
  <c r="I531" i="37"/>
  <c r="I532" i="37"/>
  <c r="I533" i="37"/>
  <c r="I534" i="37"/>
  <c r="I535" i="37"/>
  <c r="I536" i="37"/>
  <c r="I537" i="37"/>
  <c r="I538" i="37"/>
  <c r="I539" i="37"/>
  <c r="I540" i="37"/>
  <c r="I541" i="37"/>
  <c r="I542" i="37"/>
  <c r="I543" i="37"/>
  <c r="I544" i="37"/>
  <c r="I545" i="37"/>
  <c r="I546" i="37"/>
  <c r="I547" i="37"/>
  <c r="I548" i="37"/>
  <c r="I549" i="37"/>
  <c r="I550" i="37"/>
  <c r="I551" i="37"/>
  <c r="I552" i="37"/>
  <c r="I553" i="37"/>
  <c r="I554" i="37"/>
  <c r="I555" i="37"/>
  <c r="I556" i="37"/>
  <c r="I557" i="37"/>
  <c r="I558" i="37"/>
  <c r="I559" i="37"/>
  <c r="I560" i="37"/>
  <c r="I561" i="37"/>
  <c r="I562" i="37"/>
  <c r="I563" i="37"/>
  <c r="I564" i="37"/>
  <c r="I565" i="37"/>
  <c r="I566" i="37"/>
  <c r="I567" i="37"/>
  <c r="I568" i="37"/>
  <c r="I569" i="37"/>
  <c r="I570" i="37"/>
  <c r="I571" i="37"/>
  <c r="I572" i="37"/>
  <c r="I573" i="37"/>
  <c r="I574" i="37"/>
  <c r="I575" i="37"/>
  <c r="I576" i="37"/>
  <c r="I577" i="37"/>
  <c r="I578" i="37"/>
  <c r="I579" i="37"/>
  <c r="I580" i="37"/>
  <c r="I581" i="37"/>
  <c r="I582" i="37"/>
  <c r="I583" i="37"/>
  <c r="I584" i="37"/>
  <c r="I585" i="37"/>
  <c r="I586" i="37"/>
  <c r="I587" i="37"/>
  <c r="I588" i="37"/>
  <c r="I589" i="37"/>
  <c r="I590" i="37"/>
  <c r="I591" i="37"/>
  <c r="I592" i="37"/>
  <c r="I593" i="37"/>
  <c r="I594" i="37"/>
  <c r="I595" i="37"/>
  <c r="I596" i="37"/>
  <c r="I597" i="37"/>
  <c r="I598" i="37"/>
  <c r="I599" i="37"/>
  <c r="I600" i="37"/>
  <c r="I601" i="37"/>
  <c r="I602" i="37"/>
  <c r="I603" i="37"/>
  <c r="I604" i="37"/>
  <c r="I605" i="37"/>
  <c r="I606" i="37"/>
  <c r="I607" i="37"/>
  <c r="I608" i="37"/>
  <c r="I609" i="37"/>
  <c r="I610" i="37"/>
  <c r="I611" i="37"/>
  <c r="I612" i="37"/>
  <c r="I613" i="37"/>
  <c r="I614" i="37"/>
  <c r="I615" i="37"/>
  <c r="I616" i="37"/>
  <c r="I617" i="37"/>
  <c r="I618" i="37"/>
  <c r="I619" i="37"/>
  <c r="I620" i="37"/>
  <c r="I621" i="37"/>
  <c r="I622" i="37"/>
  <c r="I623" i="37"/>
  <c r="I624" i="37"/>
  <c r="I625" i="37"/>
  <c r="I626" i="37"/>
  <c r="I627" i="37"/>
  <c r="I628" i="37"/>
  <c r="I629" i="37"/>
  <c r="I630" i="37"/>
  <c r="I631" i="37"/>
  <c r="I632" i="37"/>
  <c r="I633" i="37"/>
  <c r="I634" i="37"/>
  <c r="I635" i="37"/>
  <c r="I636" i="37"/>
  <c r="I637" i="37"/>
  <c r="I638" i="37"/>
  <c r="I639" i="37"/>
  <c r="I640" i="37"/>
  <c r="I641" i="37"/>
  <c r="I642" i="37"/>
  <c r="I643" i="37"/>
  <c r="I644" i="37"/>
  <c r="I645" i="37"/>
  <c r="I646" i="37"/>
  <c r="I647" i="37"/>
  <c r="I648" i="37"/>
  <c r="I649" i="37"/>
  <c r="I650" i="37"/>
  <c r="I651" i="37"/>
  <c r="I652" i="37"/>
  <c r="I653" i="37"/>
  <c r="I654" i="37"/>
  <c r="I655" i="37"/>
  <c r="I656" i="37"/>
  <c r="I657" i="37"/>
  <c r="I658" i="37"/>
  <c r="I659" i="37"/>
  <c r="I660" i="37"/>
  <c r="I661" i="37"/>
  <c r="I662" i="37"/>
  <c r="I663" i="37"/>
  <c r="I664" i="37"/>
  <c r="I665" i="37"/>
  <c r="I666" i="37"/>
  <c r="I667" i="37"/>
  <c r="I668" i="37"/>
  <c r="I669" i="37"/>
  <c r="I670" i="37"/>
  <c r="I671" i="37"/>
  <c r="I672" i="37"/>
  <c r="I673" i="37"/>
  <c r="I674" i="37"/>
  <c r="I675" i="37"/>
  <c r="I676" i="37"/>
  <c r="I677" i="37"/>
  <c r="I678" i="37"/>
  <c r="I679" i="37"/>
  <c r="I680" i="37"/>
  <c r="I681" i="37"/>
  <c r="I682" i="37"/>
  <c r="I683" i="37"/>
  <c r="I684" i="37"/>
  <c r="I685" i="37"/>
  <c r="I686" i="37"/>
  <c r="I687" i="37"/>
  <c r="I688" i="37"/>
  <c r="I689" i="37"/>
  <c r="I690" i="37"/>
  <c r="I691" i="37"/>
  <c r="I692" i="37"/>
  <c r="I693" i="37"/>
  <c r="I694" i="37"/>
  <c r="I695" i="37"/>
  <c r="I696" i="37"/>
  <c r="I697" i="37"/>
  <c r="I698" i="37"/>
  <c r="I699" i="37"/>
  <c r="I700" i="37"/>
  <c r="I701" i="37"/>
  <c r="I702" i="37"/>
  <c r="I703" i="37"/>
  <c r="I704" i="37"/>
  <c r="I705" i="37"/>
  <c r="I706" i="37"/>
  <c r="I707" i="37"/>
  <c r="I708" i="37"/>
  <c r="I709" i="37"/>
  <c r="I710" i="37"/>
  <c r="I711" i="37"/>
  <c r="I712" i="37"/>
  <c r="I713" i="37"/>
  <c r="I714" i="37"/>
  <c r="I715" i="37"/>
  <c r="I716" i="37"/>
  <c r="I717" i="37"/>
  <c r="I718" i="37"/>
  <c r="I719" i="37"/>
  <c r="I720" i="37"/>
  <c r="I721" i="37"/>
  <c r="I722" i="37"/>
  <c r="I723" i="37"/>
  <c r="I724" i="37"/>
  <c r="I725" i="37"/>
  <c r="I726" i="37"/>
  <c r="I727" i="37"/>
  <c r="I728" i="37"/>
  <c r="I729" i="37"/>
  <c r="I730" i="37"/>
  <c r="I731" i="37"/>
  <c r="I732" i="37"/>
  <c r="I733" i="37"/>
  <c r="I734" i="37"/>
  <c r="I735" i="37"/>
  <c r="I736" i="37"/>
  <c r="I737" i="37"/>
  <c r="I738" i="37"/>
  <c r="I739" i="37"/>
  <c r="I740" i="37"/>
  <c r="I741" i="37"/>
  <c r="I742" i="37"/>
  <c r="I743" i="37"/>
  <c r="I744" i="37"/>
  <c r="I745" i="37"/>
  <c r="I746" i="37"/>
  <c r="I747" i="37"/>
  <c r="I748" i="37"/>
  <c r="I749" i="37"/>
  <c r="I750" i="37"/>
  <c r="I751" i="37"/>
  <c r="I752" i="37"/>
  <c r="I753" i="37"/>
  <c r="I754" i="37"/>
  <c r="I755" i="37"/>
  <c r="I756" i="37"/>
  <c r="I757" i="37"/>
  <c r="I758" i="37"/>
  <c r="I759" i="37"/>
  <c r="I760" i="37"/>
  <c r="I761" i="37"/>
  <c r="I762" i="37"/>
  <c r="I763" i="37"/>
  <c r="I764" i="37"/>
  <c r="I765" i="37"/>
  <c r="I766" i="37"/>
  <c r="I767" i="37"/>
  <c r="I768" i="37"/>
  <c r="I769" i="37"/>
  <c r="I770" i="37"/>
  <c r="I771" i="37"/>
  <c r="I772" i="37"/>
  <c r="I773" i="37"/>
  <c r="I774" i="37"/>
  <c r="I775" i="37"/>
  <c r="I776" i="37"/>
  <c r="I777" i="37"/>
  <c r="I778" i="37"/>
  <c r="I779" i="37"/>
  <c r="I780" i="37"/>
  <c r="I781" i="37"/>
  <c r="I782" i="37"/>
  <c r="I783" i="37"/>
  <c r="I784" i="37"/>
  <c r="I785" i="37"/>
  <c r="I786" i="37"/>
  <c r="I787" i="37"/>
  <c r="I788" i="37"/>
  <c r="I789" i="37"/>
  <c r="I790" i="37"/>
  <c r="I791" i="37"/>
  <c r="I792" i="37"/>
  <c r="I793" i="37"/>
  <c r="I794" i="37"/>
  <c r="I795" i="37"/>
  <c r="I796" i="37"/>
  <c r="I797" i="37"/>
  <c r="I798" i="37"/>
  <c r="I799" i="37"/>
  <c r="I800" i="37"/>
  <c r="I801" i="37"/>
  <c r="I802" i="37"/>
  <c r="I803" i="37"/>
  <c r="I804" i="37"/>
  <c r="I805" i="37"/>
  <c r="I806" i="37"/>
  <c r="I807" i="37"/>
  <c r="I808" i="37"/>
  <c r="I809" i="37"/>
  <c r="I810" i="37"/>
  <c r="I811" i="37"/>
  <c r="I812" i="37"/>
  <c r="I813" i="37"/>
  <c r="I814" i="37"/>
  <c r="I815" i="37"/>
  <c r="I816" i="37"/>
  <c r="I817" i="37"/>
  <c r="I818" i="37"/>
  <c r="I819" i="37"/>
  <c r="I820" i="37"/>
  <c r="I821" i="37"/>
  <c r="I822" i="37"/>
  <c r="I823" i="37"/>
  <c r="I824" i="37"/>
  <c r="I825" i="37"/>
  <c r="I826" i="37"/>
  <c r="I827" i="37"/>
  <c r="I828" i="37"/>
  <c r="I829" i="37"/>
  <c r="I830" i="37"/>
  <c r="I831" i="37"/>
  <c r="I832" i="37"/>
  <c r="I833" i="37"/>
  <c r="I834" i="37"/>
  <c r="I835" i="37"/>
  <c r="I836" i="37"/>
  <c r="I837" i="37"/>
  <c r="I838" i="37"/>
  <c r="I839" i="37"/>
  <c r="I840" i="37"/>
  <c r="I841" i="37"/>
  <c r="I842" i="37"/>
  <c r="I843" i="37"/>
  <c r="I844" i="37"/>
  <c r="I845" i="37"/>
  <c r="I846" i="37"/>
  <c r="I847" i="37"/>
  <c r="I848" i="37"/>
  <c r="I849" i="37"/>
  <c r="I850" i="37"/>
  <c r="I851" i="37"/>
  <c r="I852" i="37"/>
  <c r="I853" i="37"/>
  <c r="I854" i="37"/>
  <c r="I855" i="37"/>
  <c r="I856" i="37"/>
  <c r="I857" i="37"/>
  <c r="I858" i="37"/>
  <c r="I859" i="37"/>
  <c r="I860" i="37"/>
  <c r="I861" i="37"/>
  <c r="I862" i="37"/>
  <c r="I863" i="37"/>
  <c r="I864" i="37"/>
  <c r="I865" i="37"/>
  <c r="I866" i="37"/>
  <c r="I867" i="37"/>
  <c r="I868" i="37"/>
  <c r="I869" i="37"/>
  <c r="I870" i="37"/>
  <c r="I871" i="37"/>
  <c r="I872" i="37"/>
  <c r="I873" i="37"/>
  <c r="I874" i="37"/>
  <c r="I875" i="37"/>
  <c r="I876" i="37"/>
  <c r="I877" i="37"/>
  <c r="I878" i="37"/>
  <c r="I879" i="37"/>
  <c r="I880" i="37"/>
  <c r="I881" i="37"/>
  <c r="D6" i="40"/>
  <c r="C6" i="40"/>
  <c r="G6" i="40" s="1"/>
  <c r="M22" i="42"/>
  <c r="D111" i="40"/>
  <c r="D112" i="40" s="1"/>
  <c r="D101" i="40"/>
  <c r="D103" i="40" s="1"/>
  <c r="D70" i="40"/>
  <c r="D58" i="40"/>
  <c r="D38" i="40"/>
  <c r="D114" i="40" l="1"/>
  <c r="D113" i="40"/>
  <c r="E103" i="40"/>
  <c r="J83" i="40"/>
  <c r="D83" i="40" s="1"/>
  <c r="J50" i="40"/>
  <c r="J6" i="40"/>
  <c r="H6" i="40"/>
  <c r="F6" i="40"/>
  <c r="D27" i="40"/>
  <c r="G27" i="40" s="1"/>
  <c r="D26" i="40"/>
  <c r="G26" i="40" s="1"/>
  <c r="D25" i="40"/>
  <c r="G25" i="40" s="1"/>
  <c r="D24" i="40"/>
  <c r="G24" i="40" s="1"/>
  <c r="D23" i="40"/>
  <c r="G23" i="40" s="1"/>
  <c r="D22" i="40"/>
  <c r="G22" i="40" s="1"/>
  <c r="D21" i="40"/>
  <c r="G21" i="40" s="1"/>
  <c r="D20" i="40"/>
  <c r="G20" i="40" s="1"/>
  <c r="D19" i="40"/>
  <c r="G19" i="40" s="1"/>
  <c r="D18" i="40"/>
  <c r="G18" i="40" s="1"/>
  <c r="D17" i="40"/>
  <c r="G17" i="40" s="1"/>
  <c r="D16" i="40"/>
  <c r="G16" i="40" s="1"/>
  <c r="D15" i="40"/>
  <c r="G15" i="40" s="1"/>
  <c r="D14" i="40"/>
  <c r="G14" i="40" s="1"/>
  <c r="D13" i="40"/>
  <c r="G13" i="40" s="1"/>
  <c r="D12" i="40"/>
  <c r="G12" i="40" s="1"/>
  <c r="F39" i="38"/>
  <c r="D30" i="38"/>
  <c r="C32" i="38" s="1"/>
  <c r="C73" i="38" s="1"/>
  <c r="C30" i="38"/>
  <c r="C33" i="38" s="1"/>
  <c r="J51" i="40" l="1"/>
  <c r="D51" i="40" s="1"/>
  <c r="F16" i="40"/>
  <c r="F24" i="40"/>
  <c r="F17" i="40"/>
  <c r="F25" i="40"/>
  <c r="F13" i="40"/>
  <c r="F21" i="40"/>
  <c r="F14" i="40"/>
  <c r="F22" i="40"/>
  <c r="F15" i="40"/>
  <c r="F23" i="40"/>
  <c r="F18" i="40"/>
  <c r="F26" i="40"/>
  <c r="F19" i="40"/>
  <c r="F27" i="40"/>
  <c r="F20" i="40"/>
  <c r="F12" i="40"/>
  <c r="E16" i="40"/>
  <c r="E17" i="40"/>
  <c r="E18" i="40"/>
  <c r="E27" i="40"/>
  <c r="E24" i="40"/>
  <c r="E25" i="40"/>
  <c r="E26" i="40"/>
  <c r="E19" i="40"/>
  <c r="E20" i="40"/>
  <c r="E13" i="40"/>
  <c r="E21" i="40"/>
  <c r="E14" i="40"/>
  <c r="E22" i="40"/>
  <c r="E15" i="40"/>
  <c r="E23" i="40"/>
  <c r="E12" i="40"/>
  <c r="C40" i="38"/>
  <c r="C44" i="38"/>
  <c r="C48" i="38"/>
  <c r="C52" i="38"/>
  <c r="C56" i="38"/>
  <c r="C60" i="38"/>
  <c r="C64" i="38"/>
  <c r="C68" i="38"/>
  <c r="C72" i="38"/>
  <c r="C41" i="38"/>
  <c r="C45" i="38"/>
  <c r="C49" i="38"/>
  <c r="C53" i="38"/>
  <c r="C57" i="38"/>
  <c r="C61" i="38"/>
  <c r="C65" i="38"/>
  <c r="C69" i="38"/>
  <c r="C99" i="38"/>
  <c r="C98" i="38"/>
  <c r="C97" i="38"/>
  <c r="C96" i="38"/>
  <c r="C95" i="38"/>
  <c r="C94" i="38"/>
  <c r="C93" i="38"/>
  <c r="C92" i="38"/>
  <c r="C91" i="38"/>
  <c r="C90" i="38"/>
  <c r="C89" i="38"/>
  <c r="C88" i="38"/>
  <c r="C87" i="38"/>
  <c r="C86" i="38"/>
  <c r="C85" i="38"/>
  <c r="C84" i="38"/>
  <c r="C83" i="38"/>
  <c r="C82" i="38"/>
  <c r="C81" i="38"/>
  <c r="C80" i="38"/>
  <c r="C79" i="38"/>
  <c r="C78" i="38"/>
  <c r="C77" i="38"/>
  <c r="C76" i="38"/>
  <c r="C42" i="38"/>
  <c r="C46" i="38"/>
  <c r="C50" i="38"/>
  <c r="C54" i="38"/>
  <c r="C58" i="38"/>
  <c r="C62" i="38"/>
  <c r="C66" i="38"/>
  <c r="C70" i="38"/>
  <c r="C74" i="38"/>
  <c r="F40" i="38"/>
  <c r="C43" i="38"/>
  <c r="C47" i="38"/>
  <c r="C51" i="38"/>
  <c r="C55" i="38"/>
  <c r="C59" i="38"/>
  <c r="C63" i="38"/>
  <c r="C67" i="38"/>
  <c r="C71" i="38"/>
  <c r="C75" i="38"/>
  <c r="D40" i="38"/>
  <c r="E40" i="38"/>
  <c r="E41" i="38" l="1"/>
  <c r="F41" i="38" s="1"/>
  <c r="D41" i="38"/>
  <c r="E42" i="38" l="1"/>
  <c r="F42" i="38" s="1"/>
  <c r="D42" i="38"/>
  <c r="E43" i="38" l="1"/>
  <c r="F43" i="38" s="1"/>
  <c r="D43" i="38"/>
  <c r="E44" i="38" l="1"/>
  <c r="F44" i="38" s="1"/>
  <c r="D44" i="38"/>
  <c r="E45" i="38" l="1"/>
  <c r="F45" i="38" s="1"/>
  <c r="D45" i="38"/>
  <c r="E46" i="38" l="1"/>
  <c r="F46" i="38" s="1"/>
  <c r="D46" i="38"/>
  <c r="E47" i="38" l="1"/>
  <c r="F47" i="38" s="1"/>
  <c r="D47" i="38"/>
  <c r="E48" i="38" l="1"/>
  <c r="F48" i="38" s="1"/>
  <c r="D48" i="38"/>
  <c r="E49" i="38" l="1"/>
  <c r="F49" i="38" s="1"/>
  <c r="D49" i="38"/>
  <c r="E50" i="38" l="1"/>
  <c r="F50" i="38" s="1"/>
  <c r="D50" i="38"/>
  <c r="E51" i="38" l="1"/>
  <c r="F51" i="38" s="1"/>
  <c r="D51" i="38"/>
  <c r="E52" i="38" l="1"/>
  <c r="F52" i="38" s="1"/>
  <c r="D52" i="38"/>
  <c r="E53" i="38" l="1"/>
  <c r="F53" i="38" s="1"/>
  <c r="D53" i="38"/>
  <c r="E54" i="38" l="1"/>
  <c r="F54" i="38" s="1"/>
  <c r="D54" i="38"/>
  <c r="E55" i="38" l="1"/>
  <c r="F55" i="38" s="1"/>
  <c r="D55" i="38"/>
  <c r="E56" i="38" l="1"/>
  <c r="F56" i="38" s="1"/>
  <c r="D56" i="38"/>
  <c r="E57" i="38" l="1"/>
  <c r="F57" i="38" s="1"/>
  <c r="D57" i="38"/>
  <c r="E58" i="38" l="1"/>
  <c r="F58" i="38" s="1"/>
  <c r="D58" i="38"/>
  <c r="E59" i="38" l="1"/>
  <c r="F59" i="38" s="1"/>
  <c r="D59" i="38"/>
  <c r="E60" i="38" l="1"/>
  <c r="F60" i="38" s="1"/>
  <c r="D60" i="38"/>
  <c r="E61" i="38" l="1"/>
  <c r="F61" i="38" s="1"/>
  <c r="D61" i="38"/>
  <c r="E62" i="38" l="1"/>
  <c r="F62" i="38" s="1"/>
  <c r="D62" i="38"/>
  <c r="E63" i="38" l="1"/>
  <c r="F63" i="38" s="1"/>
  <c r="D63" i="38"/>
  <c r="E64" i="38" l="1"/>
  <c r="F64" i="38" s="1"/>
  <c r="D64" i="38"/>
  <c r="E65" i="38" l="1"/>
  <c r="F65" i="38" s="1"/>
  <c r="D65" i="38"/>
  <c r="E66" i="38" l="1"/>
  <c r="F66" i="38" s="1"/>
  <c r="D66" i="38"/>
  <c r="E67" i="38" l="1"/>
  <c r="F67" i="38" s="1"/>
  <c r="D67" i="38"/>
  <c r="E68" i="38" l="1"/>
  <c r="F68" i="38" s="1"/>
  <c r="D68" i="38"/>
  <c r="E69" i="38" l="1"/>
  <c r="F69" i="38" s="1"/>
  <c r="D69" i="38"/>
  <c r="E70" i="38" l="1"/>
  <c r="F70" i="38" s="1"/>
  <c r="D70" i="38"/>
  <c r="E71" i="38" l="1"/>
  <c r="F71" i="38" s="1"/>
  <c r="D71" i="38"/>
  <c r="E72" i="38" l="1"/>
  <c r="F72" i="38" s="1"/>
  <c r="D72" i="38"/>
  <c r="E73" i="38" l="1"/>
  <c r="F73" i="38" s="1"/>
  <c r="D73" i="38"/>
  <c r="E74" i="38" l="1"/>
  <c r="F74" i="38" s="1"/>
  <c r="D74" i="38"/>
  <c r="E75" i="38" l="1"/>
  <c r="F75" i="38" s="1"/>
  <c r="D75" i="38"/>
  <c r="E76" i="38" l="1"/>
  <c r="F76" i="38" s="1"/>
  <c r="D76" i="38"/>
  <c r="E77" i="38" l="1"/>
  <c r="F77" i="38" s="1"/>
  <c r="D77" i="38"/>
  <c r="E78" i="38" l="1"/>
  <c r="F78" i="38" s="1"/>
  <c r="D78" i="38"/>
  <c r="E79" i="38" l="1"/>
  <c r="F79" i="38" s="1"/>
  <c r="D79" i="38"/>
  <c r="E80" i="38" l="1"/>
  <c r="F80" i="38" s="1"/>
  <c r="D80" i="38"/>
  <c r="E81" i="38" l="1"/>
  <c r="F81" i="38" s="1"/>
  <c r="D81" i="38"/>
  <c r="E82" i="38" l="1"/>
  <c r="F82" i="38" s="1"/>
  <c r="D82" i="38"/>
  <c r="E83" i="38" l="1"/>
  <c r="F83" i="38" s="1"/>
  <c r="D83" i="38"/>
  <c r="E84" i="38" l="1"/>
  <c r="F84" i="38" s="1"/>
  <c r="D84" i="38"/>
  <c r="E85" i="38" l="1"/>
  <c r="F85" i="38" s="1"/>
  <c r="D85" i="38"/>
  <c r="E86" i="38" l="1"/>
  <c r="F86" i="38" s="1"/>
  <c r="D86" i="38"/>
  <c r="E87" i="38" l="1"/>
  <c r="F87" i="38" s="1"/>
  <c r="D87" i="38"/>
  <c r="E88" i="38" l="1"/>
  <c r="F88" i="38" s="1"/>
  <c r="D88" i="38"/>
  <c r="E89" i="38" l="1"/>
  <c r="F89" i="38" s="1"/>
  <c r="D89" i="38"/>
  <c r="E90" i="38" l="1"/>
  <c r="F90" i="38" s="1"/>
  <c r="D90" i="38"/>
  <c r="E91" i="38" l="1"/>
  <c r="F91" i="38" s="1"/>
  <c r="D91" i="38"/>
  <c r="E92" i="38" l="1"/>
  <c r="F92" i="38" s="1"/>
  <c r="D92" i="38"/>
  <c r="E93" i="38" l="1"/>
  <c r="F93" i="38" s="1"/>
  <c r="D93" i="38"/>
  <c r="E94" i="38" l="1"/>
  <c r="F94" i="38" s="1"/>
  <c r="D94" i="38"/>
  <c r="E95" i="38" l="1"/>
  <c r="F95" i="38" s="1"/>
  <c r="D95" i="38"/>
  <c r="E96" i="38" l="1"/>
  <c r="F96" i="38" s="1"/>
  <c r="D96" i="38"/>
  <c r="E97" i="38" l="1"/>
  <c r="F97" i="38" s="1"/>
  <c r="D97" i="38"/>
  <c r="E98" i="38" l="1"/>
  <c r="F98" i="38" s="1"/>
  <c r="D98" i="38"/>
  <c r="E99" i="38" l="1"/>
  <c r="F99" i="38" s="1"/>
  <c r="D99" i="38"/>
  <c r="K5" i="36" l="1"/>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91" i="36"/>
  <c r="K92" i="36"/>
  <c r="K93" i="36"/>
  <c r="K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144" i="36"/>
  <c r="K145" i="36"/>
  <c r="K146" i="36"/>
  <c r="K147" i="36"/>
  <c r="K148" i="36"/>
  <c r="K149" i="36"/>
  <c r="K150" i="36"/>
  <c r="K151" i="36"/>
  <c r="K152" i="36"/>
  <c r="K153" i="36"/>
  <c r="K154" i="36"/>
  <c r="K155" i="36"/>
  <c r="K156" i="36"/>
  <c r="K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82" i="36"/>
  <c r="K183" i="36"/>
  <c r="K184" i="36"/>
  <c r="K185" i="36"/>
  <c r="K186" i="36"/>
  <c r="K187" i="36"/>
  <c r="K188" i="36"/>
  <c r="K189" i="36"/>
  <c r="K190" i="36"/>
  <c r="K191" i="36"/>
  <c r="K192" i="36"/>
  <c r="K193" i="36"/>
  <c r="K194" i="36"/>
  <c r="K195" i="36"/>
  <c r="K196" i="36"/>
  <c r="K197" i="36"/>
  <c r="K198" i="36"/>
  <c r="K199" i="36"/>
  <c r="K200" i="36"/>
  <c r="K201" i="36"/>
  <c r="K202" i="36"/>
  <c r="K203" i="36"/>
  <c r="K204" i="36"/>
  <c r="K205" i="36"/>
  <c r="K206" i="36"/>
  <c r="K207" i="36"/>
  <c r="K208" i="36"/>
  <c r="K209" i="36"/>
  <c r="K210" i="36"/>
  <c r="K211" i="36"/>
  <c r="K212" i="36"/>
  <c r="K213" i="36"/>
  <c r="K214" i="36"/>
  <c r="K215" i="36"/>
  <c r="K216" i="36"/>
  <c r="K217" i="36"/>
  <c r="K218" i="36"/>
  <c r="K219" i="36"/>
  <c r="K220" i="36"/>
  <c r="K221" i="36"/>
  <c r="K222" i="36"/>
  <c r="K223" i="36"/>
  <c r="K224" i="36"/>
  <c r="K225" i="36"/>
  <c r="K226" i="36"/>
  <c r="K227" i="36"/>
  <c r="K228" i="36"/>
  <c r="K229" i="36"/>
  <c r="K230" i="36"/>
  <c r="K231" i="36"/>
  <c r="K232" i="36"/>
  <c r="K233" i="36"/>
  <c r="K234" i="36"/>
  <c r="K235" i="36"/>
  <c r="K236" i="36"/>
  <c r="K237" i="36"/>
  <c r="K238" i="36"/>
  <c r="K239" i="36"/>
  <c r="K240" i="36"/>
  <c r="K241" i="36"/>
  <c r="K242" i="36"/>
  <c r="K243" i="36"/>
  <c r="K244" i="36"/>
  <c r="K245" i="36"/>
  <c r="K246" i="36"/>
  <c r="K247" i="36"/>
  <c r="K248" i="36"/>
  <c r="K249" i="36"/>
  <c r="K250" i="36"/>
  <c r="K251" i="36"/>
  <c r="K252" i="36"/>
  <c r="K253" i="36"/>
  <c r="K254" i="36"/>
  <c r="K255" i="36"/>
  <c r="K256" i="36"/>
  <c r="K257" i="36"/>
  <c r="K258" i="36"/>
  <c r="K259" i="36"/>
  <c r="K260" i="36"/>
  <c r="K261" i="36"/>
  <c r="K262" i="36"/>
  <c r="K263" i="36"/>
  <c r="K264" i="36"/>
  <c r="K265" i="36"/>
  <c r="K266" i="36"/>
  <c r="K267" i="36"/>
  <c r="K268" i="36"/>
  <c r="K269" i="36"/>
  <c r="K270" i="36"/>
  <c r="K271" i="36"/>
  <c r="K272" i="36"/>
  <c r="K273" i="36"/>
  <c r="K274" i="36"/>
  <c r="K275" i="36"/>
  <c r="K276" i="36"/>
  <c r="K277" i="36"/>
  <c r="K278" i="36"/>
  <c r="K279" i="36"/>
  <c r="K280" i="36"/>
  <c r="K281" i="36"/>
  <c r="K282" i="36"/>
  <c r="K283" i="36"/>
  <c r="K284" i="36"/>
  <c r="K285" i="36"/>
  <c r="K286" i="36"/>
  <c r="K287" i="36"/>
  <c r="K288" i="36"/>
  <c r="K289" i="36"/>
  <c r="K290" i="36"/>
  <c r="K291" i="36"/>
  <c r="K292" i="36"/>
  <c r="K293" i="36"/>
  <c r="K294" i="36"/>
  <c r="K295" i="36"/>
  <c r="K296" i="36"/>
  <c r="K297" i="36"/>
  <c r="K298" i="36"/>
  <c r="K299" i="36"/>
  <c r="K300" i="36"/>
  <c r="K301" i="36"/>
  <c r="K302" i="36"/>
  <c r="K303" i="36"/>
  <c r="K304" i="36"/>
  <c r="K305" i="36"/>
  <c r="K306" i="36"/>
  <c r="K307" i="36"/>
  <c r="K308" i="36"/>
  <c r="K309" i="36"/>
  <c r="K310" i="36"/>
  <c r="K311" i="36"/>
  <c r="K312" i="36"/>
  <c r="K313" i="36"/>
  <c r="K314" i="36"/>
  <c r="K315" i="36"/>
  <c r="K316" i="36"/>
  <c r="K317" i="36"/>
  <c r="K318" i="36"/>
  <c r="K319" i="36"/>
  <c r="K320" i="36"/>
  <c r="K321" i="36"/>
  <c r="K322" i="36"/>
  <c r="K323" i="36"/>
  <c r="K324" i="36"/>
  <c r="K325" i="36"/>
  <c r="K326" i="36"/>
  <c r="K327" i="36"/>
  <c r="K328" i="36"/>
  <c r="K329" i="36"/>
  <c r="K330" i="36"/>
  <c r="K331" i="36"/>
  <c r="K332" i="36"/>
  <c r="K333" i="36"/>
  <c r="K334" i="36"/>
  <c r="K335" i="36"/>
  <c r="K336" i="36"/>
  <c r="K337" i="36"/>
  <c r="K338" i="36"/>
  <c r="K339" i="36"/>
  <c r="K340" i="36"/>
  <c r="K341" i="36"/>
  <c r="K342" i="36"/>
  <c r="K343" i="36"/>
  <c r="K344" i="36"/>
  <c r="K345" i="36"/>
  <c r="K346" i="36"/>
  <c r="K347" i="36"/>
  <c r="K348" i="36"/>
  <c r="K349" i="36"/>
  <c r="K350" i="36"/>
  <c r="K351" i="36"/>
  <c r="K352" i="36"/>
  <c r="K353" i="36"/>
  <c r="K354" i="36"/>
  <c r="K355" i="36"/>
  <c r="K356" i="36"/>
  <c r="K357" i="36"/>
  <c r="K358" i="36"/>
  <c r="K359" i="36"/>
  <c r="K360" i="36"/>
  <c r="K361" i="36"/>
  <c r="K362" i="36"/>
  <c r="K363" i="36"/>
  <c r="K364" i="36"/>
  <c r="K365" i="36"/>
  <c r="K366" i="36"/>
  <c r="K367" i="36"/>
  <c r="K368" i="36"/>
  <c r="K369" i="36"/>
  <c r="K370" i="36"/>
  <c r="K371" i="36"/>
  <c r="K372" i="36"/>
  <c r="K373" i="36"/>
  <c r="K374" i="36"/>
  <c r="K375" i="36"/>
  <c r="K376" i="36"/>
  <c r="K377" i="36"/>
  <c r="K378" i="36"/>
  <c r="K379" i="36"/>
  <c r="K380" i="36"/>
  <c r="K381" i="36"/>
  <c r="K382" i="36"/>
  <c r="K383" i="36"/>
  <c r="K384" i="36"/>
  <c r="K385" i="36"/>
  <c r="K386" i="36"/>
  <c r="K387" i="36"/>
  <c r="K388" i="36"/>
  <c r="K389" i="36"/>
  <c r="K390" i="36"/>
  <c r="K391" i="36"/>
  <c r="K392" i="36"/>
  <c r="K393" i="36"/>
  <c r="K394" i="36"/>
  <c r="K395" i="36"/>
  <c r="K396" i="36"/>
  <c r="K397" i="36"/>
  <c r="K398" i="36"/>
  <c r="K399" i="36"/>
  <c r="K400" i="36"/>
  <c r="K401" i="36"/>
  <c r="K402" i="36"/>
  <c r="K403" i="36"/>
  <c r="K404" i="36"/>
  <c r="K405" i="36"/>
  <c r="K406" i="36"/>
  <c r="K407" i="36"/>
  <c r="K408" i="36"/>
  <c r="K409" i="36"/>
  <c r="K410" i="36"/>
  <c r="K411" i="36"/>
  <c r="K412" i="36"/>
  <c r="K413" i="36"/>
  <c r="K414" i="36"/>
  <c r="K415" i="36"/>
  <c r="K416" i="36"/>
  <c r="K417" i="36"/>
  <c r="K418" i="36"/>
  <c r="K419" i="36"/>
  <c r="K420" i="36"/>
  <c r="K421" i="36"/>
  <c r="K422" i="36"/>
  <c r="K423" i="36"/>
  <c r="K424" i="36"/>
  <c r="K425" i="36"/>
  <c r="K426" i="36"/>
  <c r="K427" i="36"/>
  <c r="K428" i="36"/>
  <c r="K429" i="36"/>
  <c r="K430" i="36"/>
  <c r="K431" i="36"/>
  <c r="K432" i="36"/>
  <c r="K433" i="36"/>
  <c r="K434" i="36"/>
  <c r="K435" i="36"/>
  <c r="K436" i="36"/>
  <c r="K437" i="36"/>
  <c r="K438" i="36"/>
  <c r="K439" i="36"/>
  <c r="K440" i="36"/>
  <c r="K441" i="36"/>
  <c r="K442" i="36"/>
  <c r="K443" i="36"/>
  <c r="K444" i="36"/>
  <c r="K445" i="36"/>
  <c r="K446" i="36"/>
  <c r="K447" i="36"/>
  <c r="K448" i="36"/>
  <c r="K449" i="36"/>
  <c r="K450" i="36"/>
  <c r="K451" i="36"/>
  <c r="K452" i="36"/>
  <c r="K453" i="36"/>
  <c r="K454" i="36"/>
  <c r="K455" i="36"/>
  <c r="K456" i="36"/>
  <c r="K457" i="36"/>
  <c r="K458" i="36"/>
  <c r="K459" i="36"/>
  <c r="K460" i="36"/>
  <c r="K461" i="36"/>
  <c r="K462" i="36"/>
  <c r="K463" i="36"/>
  <c r="K464" i="36"/>
  <c r="K465" i="36"/>
  <c r="K466" i="36"/>
  <c r="K467" i="36"/>
  <c r="K468" i="36"/>
  <c r="K469" i="36"/>
  <c r="K470" i="36"/>
  <c r="K471" i="36"/>
  <c r="K472" i="36"/>
  <c r="K473" i="36"/>
  <c r="K474" i="36"/>
  <c r="K475" i="36"/>
  <c r="K476" i="36"/>
  <c r="K477" i="36"/>
  <c r="K478" i="36"/>
  <c r="K479" i="36"/>
  <c r="K480" i="36"/>
  <c r="K481" i="36"/>
  <c r="K482" i="36"/>
  <c r="K483" i="36"/>
  <c r="K484" i="36"/>
  <c r="K485" i="36"/>
  <c r="K486" i="36"/>
  <c r="K487" i="36"/>
  <c r="K488" i="36"/>
  <c r="K489" i="36"/>
  <c r="K490" i="36"/>
  <c r="K491" i="36"/>
  <c r="K492" i="36"/>
  <c r="K493" i="36"/>
  <c r="K494" i="36"/>
  <c r="K495" i="36"/>
  <c r="K496" i="36"/>
  <c r="K497" i="36"/>
  <c r="K498" i="36"/>
  <c r="K499" i="36"/>
  <c r="K500" i="36"/>
  <c r="K501" i="36"/>
  <c r="K502" i="36"/>
  <c r="K503" i="36"/>
  <c r="K504" i="36"/>
  <c r="K505" i="36"/>
  <c r="K506" i="36"/>
  <c r="K507" i="36"/>
  <c r="K508" i="36"/>
  <c r="K509" i="36"/>
  <c r="K510" i="36"/>
  <c r="K511" i="36"/>
  <c r="K512" i="36"/>
  <c r="K513" i="36"/>
  <c r="K514" i="36"/>
  <c r="K515" i="36"/>
  <c r="K516" i="36"/>
  <c r="K517" i="36"/>
  <c r="K518" i="36"/>
  <c r="K519" i="36"/>
  <c r="K520" i="36"/>
  <c r="K521" i="36"/>
  <c r="K522" i="36"/>
  <c r="K523" i="36"/>
  <c r="K524" i="36"/>
  <c r="K525" i="36"/>
  <c r="K526" i="36"/>
  <c r="K527" i="36"/>
  <c r="K528" i="36"/>
  <c r="K529" i="36"/>
  <c r="K530" i="36"/>
  <c r="K531" i="36"/>
  <c r="K532" i="36"/>
  <c r="K533" i="36"/>
  <c r="K534" i="36"/>
  <c r="K535" i="36"/>
  <c r="K536" i="36"/>
  <c r="K537" i="36"/>
  <c r="K538" i="36"/>
  <c r="K539" i="36"/>
  <c r="K540" i="36"/>
  <c r="K541" i="36"/>
  <c r="K542" i="36"/>
  <c r="K543" i="36"/>
  <c r="K544" i="36"/>
  <c r="K545" i="36"/>
  <c r="K546" i="36"/>
  <c r="K547" i="36"/>
  <c r="K548" i="36"/>
  <c r="K549" i="36"/>
  <c r="K550" i="36"/>
  <c r="K551" i="36"/>
  <c r="K552" i="36"/>
  <c r="K553" i="36"/>
  <c r="K554" i="36"/>
  <c r="K555" i="36"/>
  <c r="K556" i="36"/>
  <c r="K557" i="36"/>
  <c r="K558" i="36"/>
  <c r="K559" i="36"/>
  <c r="K560" i="36"/>
  <c r="K561" i="36"/>
  <c r="K562" i="36"/>
  <c r="K563" i="36"/>
  <c r="K564" i="36"/>
  <c r="K565" i="36"/>
  <c r="K566" i="36"/>
  <c r="K567" i="36"/>
  <c r="K568" i="36"/>
  <c r="K569" i="36"/>
  <c r="K570" i="36"/>
  <c r="K571" i="36"/>
  <c r="K572" i="36"/>
  <c r="K573" i="36"/>
  <c r="K574" i="36"/>
  <c r="K575" i="36"/>
  <c r="K576" i="36"/>
  <c r="K577" i="36"/>
  <c r="K578" i="36"/>
  <c r="K579" i="36"/>
  <c r="K580" i="36"/>
  <c r="K581" i="36"/>
  <c r="K582" i="36"/>
  <c r="K583" i="36"/>
  <c r="K584" i="36"/>
  <c r="K585" i="36"/>
  <c r="K586" i="36"/>
  <c r="K587" i="36"/>
  <c r="K588" i="36"/>
  <c r="K589" i="36"/>
  <c r="K590" i="36"/>
  <c r="K591" i="36"/>
  <c r="K592" i="36"/>
  <c r="K593" i="36"/>
  <c r="K594" i="36"/>
  <c r="K595" i="36"/>
  <c r="K596" i="36"/>
  <c r="K597" i="36"/>
  <c r="K598" i="36"/>
  <c r="K599" i="36"/>
  <c r="K600" i="36"/>
  <c r="K601" i="36"/>
  <c r="K602" i="36"/>
  <c r="K603" i="36"/>
  <c r="K604" i="36"/>
  <c r="K605" i="36"/>
  <c r="K606" i="36"/>
  <c r="K607" i="36"/>
  <c r="K608" i="36"/>
  <c r="K609" i="36"/>
  <c r="K610" i="36"/>
  <c r="K611" i="36"/>
  <c r="K612" i="36"/>
  <c r="K613" i="36"/>
  <c r="K614" i="36"/>
  <c r="K615" i="36"/>
  <c r="K616" i="36"/>
  <c r="K617" i="36"/>
  <c r="K618" i="36"/>
  <c r="K619" i="36"/>
  <c r="K620" i="36"/>
  <c r="K621" i="36"/>
  <c r="K622" i="36"/>
  <c r="K623" i="36"/>
  <c r="K624" i="36"/>
  <c r="K625" i="36"/>
  <c r="K626" i="36"/>
  <c r="K627" i="36"/>
  <c r="K628" i="36"/>
  <c r="K629" i="36"/>
  <c r="K630" i="36"/>
  <c r="K631" i="36"/>
  <c r="K632" i="36"/>
  <c r="K633" i="36"/>
  <c r="K634" i="36"/>
  <c r="K635" i="36"/>
  <c r="K636" i="36"/>
  <c r="K637" i="36"/>
  <c r="K638" i="36"/>
  <c r="K639" i="36"/>
  <c r="K640" i="36"/>
  <c r="K641" i="36"/>
  <c r="K642" i="36"/>
  <c r="K643" i="36"/>
  <c r="K644" i="36"/>
  <c r="K645" i="36"/>
  <c r="K646" i="36"/>
  <c r="K647" i="36"/>
  <c r="K648" i="36"/>
  <c r="K649" i="36"/>
  <c r="K650" i="36"/>
  <c r="K651" i="36"/>
  <c r="K652" i="36"/>
  <c r="K653" i="36"/>
  <c r="K654" i="36"/>
  <c r="K655" i="36"/>
  <c r="K656" i="36"/>
  <c r="K657" i="36"/>
  <c r="K658" i="36"/>
  <c r="K659" i="36"/>
  <c r="K660" i="36"/>
  <c r="K661" i="36"/>
  <c r="K662" i="36"/>
  <c r="K663" i="36"/>
  <c r="K664" i="36"/>
  <c r="K665" i="36"/>
  <c r="K666" i="36"/>
  <c r="K667" i="36"/>
  <c r="K668" i="36"/>
  <c r="K669" i="36"/>
  <c r="K670" i="36"/>
  <c r="K671" i="36"/>
  <c r="K672" i="36"/>
  <c r="K673" i="36"/>
  <c r="K674" i="36"/>
  <c r="K675" i="36"/>
  <c r="K676" i="36"/>
  <c r="K677" i="36"/>
  <c r="K678" i="36"/>
  <c r="K679" i="36"/>
  <c r="K680" i="36"/>
  <c r="K681" i="36"/>
  <c r="K682" i="36"/>
  <c r="K683" i="36"/>
  <c r="K684" i="36"/>
  <c r="K685" i="36"/>
  <c r="K686" i="36"/>
  <c r="K687" i="36"/>
  <c r="K688" i="36"/>
  <c r="K689" i="36"/>
  <c r="K690" i="36"/>
  <c r="K691" i="36"/>
  <c r="K692" i="36"/>
  <c r="K693" i="36"/>
  <c r="K694" i="36"/>
  <c r="K695" i="36"/>
  <c r="K696" i="36"/>
  <c r="K697" i="36"/>
  <c r="K698" i="36"/>
  <c r="K699" i="36"/>
  <c r="K700" i="36"/>
  <c r="K701" i="36"/>
  <c r="K702" i="36"/>
  <c r="K703" i="36"/>
  <c r="K704" i="36"/>
  <c r="K705" i="36"/>
  <c r="K706" i="36"/>
  <c r="K707" i="36"/>
  <c r="K708" i="36"/>
  <c r="K709" i="36"/>
  <c r="K710" i="36"/>
  <c r="K711" i="36"/>
  <c r="K712" i="36"/>
  <c r="K713" i="36"/>
  <c r="K714" i="36"/>
  <c r="K715" i="36"/>
  <c r="K716" i="36"/>
  <c r="K717" i="36"/>
  <c r="K718" i="36"/>
  <c r="K719" i="36"/>
  <c r="K720" i="36"/>
  <c r="K721" i="36"/>
  <c r="K722" i="36"/>
  <c r="K723" i="36"/>
  <c r="K724" i="36"/>
  <c r="K725" i="36"/>
  <c r="K726" i="36"/>
  <c r="K727" i="36"/>
  <c r="K728" i="36"/>
  <c r="K729" i="36"/>
  <c r="K730" i="36"/>
  <c r="K731" i="36"/>
  <c r="K732" i="36"/>
  <c r="K733" i="36"/>
  <c r="K734" i="36"/>
  <c r="K735" i="36"/>
  <c r="K736" i="36"/>
  <c r="K737" i="36"/>
  <c r="K738" i="36"/>
  <c r="K739" i="36"/>
  <c r="K740" i="36"/>
  <c r="K741" i="36"/>
  <c r="K742" i="36"/>
  <c r="K743" i="36"/>
  <c r="K744" i="36"/>
  <c r="K745" i="36"/>
  <c r="K746" i="36"/>
  <c r="K747" i="36"/>
  <c r="K748" i="36"/>
  <c r="K749" i="36"/>
  <c r="K750" i="36"/>
  <c r="K751" i="36"/>
  <c r="K752" i="36"/>
  <c r="K753" i="36"/>
  <c r="K754" i="36"/>
  <c r="K755" i="36"/>
  <c r="K756" i="36"/>
  <c r="K757" i="36"/>
  <c r="K758" i="36"/>
  <c r="K759" i="36"/>
  <c r="K760" i="36"/>
  <c r="K761" i="36"/>
  <c r="K762" i="36"/>
  <c r="K763" i="36"/>
  <c r="K764" i="36"/>
  <c r="K765" i="36"/>
  <c r="K766" i="36"/>
  <c r="K767" i="36"/>
  <c r="K768" i="36"/>
  <c r="K769" i="36"/>
  <c r="K770" i="36"/>
  <c r="K771" i="36"/>
  <c r="K772" i="36"/>
  <c r="K773" i="36"/>
  <c r="K774" i="36"/>
  <c r="K775" i="36"/>
  <c r="K776" i="36"/>
  <c r="K777" i="36"/>
  <c r="K778" i="36"/>
  <c r="K779" i="36"/>
  <c r="K780" i="36"/>
  <c r="K781" i="36"/>
  <c r="K782" i="36"/>
  <c r="K783" i="36"/>
  <c r="K784" i="36"/>
  <c r="K785" i="36"/>
  <c r="K786" i="36"/>
  <c r="K787" i="36"/>
  <c r="K788" i="36"/>
  <c r="K789" i="36"/>
  <c r="K790" i="36"/>
  <c r="K791" i="36"/>
  <c r="K792" i="36"/>
  <c r="K793" i="36"/>
  <c r="K794" i="36"/>
  <c r="K795" i="36"/>
  <c r="K796" i="36"/>
  <c r="K797" i="36"/>
  <c r="K798" i="36"/>
  <c r="K799" i="36"/>
  <c r="K800" i="36"/>
  <c r="K801" i="36"/>
  <c r="K802" i="36"/>
  <c r="K803" i="36"/>
  <c r="K804" i="36"/>
  <c r="K805" i="36"/>
  <c r="K806" i="36"/>
  <c r="K807" i="36"/>
  <c r="K808" i="36"/>
  <c r="K809" i="36"/>
  <c r="K810" i="36"/>
  <c r="K811" i="36"/>
  <c r="K812" i="36"/>
  <c r="K813" i="36"/>
  <c r="K814" i="36"/>
  <c r="K815" i="36"/>
  <c r="K816" i="36"/>
  <c r="K817" i="36"/>
  <c r="K818" i="36"/>
  <c r="K819" i="36"/>
  <c r="K820" i="36"/>
  <c r="K821" i="36"/>
  <c r="K822" i="36"/>
  <c r="K823" i="36"/>
  <c r="K824" i="36"/>
  <c r="K825" i="36"/>
  <c r="K826" i="36"/>
  <c r="K827" i="36"/>
  <c r="K828" i="36"/>
  <c r="K829" i="36"/>
  <c r="K830" i="36"/>
  <c r="K831" i="36"/>
  <c r="K832" i="36"/>
  <c r="K833" i="36"/>
  <c r="K834" i="36"/>
  <c r="K835" i="36"/>
  <c r="K836" i="36"/>
  <c r="K837" i="36"/>
  <c r="K838" i="36"/>
  <c r="K839" i="36"/>
  <c r="K840" i="36"/>
  <c r="K841" i="36"/>
  <c r="K842" i="36"/>
  <c r="K843" i="36"/>
  <c r="K844" i="36"/>
  <c r="K845" i="36"/>
  <c r="K846" i="36"/>
  <c r="K847" i="36"/>
  <c r="K848" i="36"/>
  <c r="K849" i="36"/>
  <c r="K850" i="36"/>
  <c r="K851" i="36"/>
  <c r="K852" i="36"/>
  <c r="K853" i="36"/>
  <c r="K854" i="36"/>
  <c r="K855" i="36"/>
  <c r="K856" i="36"/>
  <c r="K857" i="36"/>
  <c r="K858" i="36"/>
  <c r="K859" i="36"/>
  <c r="K860" i="36"/>
  <c r="K861" i="36"/>
  <c r="K862" i="36"/>
  <c r="K863" i="36"/>
  <c r="K864" i="36"/>
  <c r="K865" i="36"/>
  <c r="K866" i="36"/>
  <c r="K867" i="36"/>
  <c r="K868" i="36"/>
  <c r="K869" i="36"/>
  <c r="K870" i="36"/>
  <c r="K871" i="36"/>
  <c r="K872" i="36"/>
  <c r="K873" i="36"/>
  <c r="K874" i="36"/>
  <c r="K875" i="36"/>
  <c r="K876" i="36"/>
  <c r="K877" i="36"/>
  <c r="K878" i="36"/>
  <c r="K879" i="36"/>
  <c r="K880" i="36"/>
  <c r="K881"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56" i="36"/>
  <c r="J57" i="36"/>
  <c r="J58" i="36"/>
  <c r="J59" i="36"/>
  <c r="J60" i="36"/>
  <c r="J61" i="36"/>
  <c r="J62" i="36"/>
  <c r="J63" i="36"/>
  <c r="J64" i="36"/>
  <c r="J65" i="36"/>
  <c r="J66" i="36"/>
  <c r="J67" i="36"/>
  <c r="J68" i="36"/>
  <c r="J69" i="36"/>
  <c r="J70" i="36"/>
  <c r="J71" i="36"/>
  <c r="J72" i="36"/>
  <c r="J73" i="36"/>
  <c r="J74" i="36"/>
  <c r="J75" i="36"/>
  <c r="J76" i="36"/>
  <c r="J77" i="36"/>
  <c r="J78" i="36"/>
  <c r="J79" i="36"/>
  <c r="J80" i="36"/>
  <c r="J81" i="36"/>
  <c r="J82" i="36"/>
  <c r="J83" i="36"/>
  <c r="J84" i="36"/>
  <c r="J85" i="36"/>
  <c r="J86" i="36"/>
  <c r="J87" i="36"/>
  <c r="J88" i="36"/>
  <c r="J89" i="36"/>
  <c r="J90" i="36"/>
  <c r="J91" i="36"/>
  <c r="J92" i="36"/>
  <c r="J93" i="36"/>
  <c r="J94" i="36"/>
  <c r="J95" i="36"/>
  <c r="J96" i="36"/>
  <c r="J97" i="36"/>
  <c r="J98" i="36"/>
  <c r="J99" i="36"/>
  <c r="J100" i="36"/>
  <c r="J101" i="36"/>
  <c r="J102" i="36"/>
  <c r="J103" i="36"/>
  <c r="J104" i="36"/>
  <c r="J105" i="36"/>
  <c r="J106" i="36"/>
  <c r="J107" i="36"/>
  <c r="J108" i="36"/>
  <c r="J109" i="36"/>
  <c r="J110" i="36"/>
  <c r="J111" i="36"/>
  <c r="J112" i="36"/>
  <c r="J113" i="36"/>
  <c r="J114" i="36"/>
  <c r="J115" i="36"/>
  <c r="J116" i="36"/>
  <c r="J117" i="36"/>
  <c r="J118" i="36"/>
  <c r="J119" i="36"/>
  <c r="J120" i="36"/>
  <c r="J121" i="36"/>
  <c r="J122" i="36"/>
  <c r="J123" i="36"/>
  <c r="J124" i="36"/>
  <c r="J125" i="36"/>
  <c r="J126" i="36"/>
  <c r="J127" i="36"/>
  <c r="J128" i="36"/>
  <c r="J129" i="36"/>
  <c r="J130" i="36"/>
  <c r="J131" i="36"/>
  <c r="J132" i="36"/>
  <c r="J133" i="36"/>
  <c r="J134" i="36"/>
  <c r="J135" i="36"/>
  <c r="J136" i="36"/>
  <c r="J137" i="36"/>
  <c r="J138" i="36"/>
  <c r="J139" i="36"/>
  <c r="J140" i="36"/>
  <c r="J141" i="36"/>
  <c r="J142" i="36"/>
  <c r="J143" i="36"/>
  <c r="J144" i="36"/>
  <c r="J145" i="36"/>
  <c r="J146" i="36"/>
  <c r="J147" i="36"/>
  <c r="J148" i="36"/>
  <c r="J149" i="36"/>
  <c r="J150" i="36"/>
  <c r="J151" i="36"/>
  <c r="J152" i="36"/>
  <c r="J153" i="36"/>
  <c r="J154" i="36"/>
  <c r="J155" i="36"/>
  <c r="J156" i="36"/>
  <c r="J157" i="36"/>
  <c r="J158" i="36"/>
  <c r="J159" i="36"/>
  <c r="J160" i="36"/>
  <c r="J161" i="36"/>
  <c r="J162" i="36"/>
  <c r="J163" i="36"/>
  <c r="J164" i="36"/>
  <c r="J165" i="36"/>
  <c r="J166" i="36"/>
  <c r="J167" i="36"/>
  <c r="J168" i="36"/>
  <c r="J169" i="36"/>
  <c r="J170" i="36"/>
  <c r="J171" i="36"/>
  <c r="J172" i="36"/>
  <c r="J173" i="36"/>
  <c r="J174" i="36"/>
  <c r="J175" i="36"/>
  <c r="J176" i="36"/>
  <c r="J177" i="36"/>
  <c r="J178" i="36"/>
  <c r="J179" i="36"/>
  <c r="J180" i="36"/>
  <c r="J181" i="36"/>
  <c r="J182" i="36"/>
  <c r="J183" i="36"/>
  <c r="J184" i="36"/>
  <c r="J185" i="36"/>
  <c r="J186" i="36"/>
  <c r="J187" i="36"/>
  <c r="J188" i="36"/>
  <c r="J189" i="36"/>
  <c r="J190" i="36"/>
  <c r="J191" i="36"/>
  <c r="J192" i="36"/>
  <c r="J193" i="36"/>
  <c r="J194" i="36"/>
  <c r="J195" i="36"/>
  <c r="J196" i="36"/>
  <c r="J197" i="36"/>
  <c r="J198" i="36"/>
  <c r="J199" i="36"/>
  <c r="J200" i="36"/>
  <c r="J201" i="36"/>
  <c r="J202" i="36"/>
  <c r="J203" i="36"/>
  <c r="J204" i="36"/>
  <c r="J205" i="36"/>
  <c r="J206" i="36"/>
  <c r="J207" i="36"/>
  <c r="J208" i="36"/>
  <c r="J209" i="36"/>
  <c r="J210" i="36"/>
  <c r="J211" i="36"/>
  <c r="J212" i="36"/>
  <c r="J213" i="36"/>
  <c r="J214" i="36"/>
  <c r="J215" i="36"/>
  <c r="J216" i="36"/>
  <c r="J217" i="36"/>
  <c r="J218" i="36"/>
  <c r="J219" i="36"/>
  <c r="J220" i="36"/>
  <c r="J221" i="36"/>
  <c r="J222" i="36"/>
  <c r="J223" i="36"/>
  <c r="J224" i="36"/>
  <c r="J225" i="36"/>
  <c r="J226" i="36"/>
  <c r="J227" i="36"/>
  <c r="J228" i="36"/>
  <c r="J229" i="36"/>
  <c r="J230" i="36"/>
  <c r="J231" i="36"/>
  <c r="J232" i="36"/>
  <c r="J233" i="36"/>
  <c r="J234" i="36"/>
  <c r="J235" i="36"/>
  <c r="J236" i="36"/>
  <c r="J237" i="36"/>
  <c r="J238" i="36"/>
  <c r="J239" i="36"/>
  <c r="J240" i="36"/>
  <c r="J241" i="36"/>
  <c r="J242" i="36"/>
  <c r="J243" i="36"/>
  <c r="J244" i="36"/>
  <c r="J245" i="36"/>
  <c r="J246" i="36"/>
  <c r="J247" i="36"/>
  <c r="J248" i="36"/>
  <c r="J249" i="36"/>
  <c r="J250" i="36"/>
  <c r="J251" i="36"/>
  <c r="J252" i="36"/>
  <c r="J253" i="36"/>
  <c r="J254" i="36"/>
  <c r="J255" i="36"/>
  <c r="J256" i="36"/>
  <c r="J257" i="36"/>
  <c r="J258" i="36"/>
  <c r="J259" i="36"/>
  <c r="J260" i="36"/>
  <c r="J261" i="36"/>
  <c r="J262" i="36"/>
  <c r="J263" i="36"/>
  <c r="J264" i="36"/>
  <c r="J265" i="36"/>
  <c r="J266" i="36"/>
  <c r="J267" i="36"/>
  <c r="J268" i="36"/>
  <c r="J269" i="36"/>
  <c r="J270" i="36"/>
  <c r="J271" i="36"/>
  <c r="J272" i="36"/>
  <c r="J273" i="36"/>
  <c r="J274" i="36"/>
  <c r="J275" i="36"/>
  <c r="J276" i="36"/>
  <c r="J277" i="36"/>
  <c r="J278" i="36"/>
  <c r="J279" i="36"/>
  <c r="J280" i="36"/>
  <c r="J281" i="36"/>
  <c r="J282" i="36"/>
  <c r="J283" i="36"/>
  <c r="J284" i="36"/>
  <c r="J285" i="36"/>
  <c r="J286" i="36"/>
  <c r="J287" i="36"/>
  <c r="J288" i="36"/>
  <c r="J289" i="36"/>
  <c r="J290" i="36"/>
  <c r="J291" i="36"/>
  <c r="J292" i="36"/>
  <c r="J293" i="36"/>
  <c r="J294" i="36"/>
  <c r="J295" i="36"/>
  <c r="J296" i="36"/>
  <c r="J297" i="36"/>
  <c r="J298" i="36"/>
  <c r="J299" i="36"/>
  <c r="J300" i="36"/>
  <c r="J301" i="36"/>
  <c r="J302" i="36"/>
  <c r="J303" i="36"/>
  <c r="J304" i="36"/>
  <c r="J305" i="36"/>
  <c r="J306" i="36"/>
  <c r="J307" i="36"/>
  <c r="J308" i="36"/>
  <c r="J309" i="36"/>
  <c r="J310" i="36"/>
  <c r="J311" i="36"/>
  <c r="J312" i="36"/>
  <c r="J313" i="36"/>
  <c r="J314" i="36"/>
  <c r="J315" i="36"/>
  <c r="J316" i="36"/>
  <c r="J317" i="36"/>
  <c r="J318" i="36"/>
  <c r="J319" i="36"/>
  <c r="J320" i="36"/>
  <c r="J321" i="36"/>
  <c r="J322" i="36"/>
  <c r="J323" i="36"/>
  <c r="J324" i="36"/>
  <c r="J325" i="36"/>
  <c r="J326" i="36"/>
  <c r="J327" i="36"/>
  <c r="J328" i="36"/>
  <c r="J329" i="36"/>
  <c r="J330" i="36"/>
  <c r="J331" i="36"/>
  <c r="J332" i="36"/>
  <c r="J333" i="36"/>
  <c r="J334" i="36"/>
  <c r="J335" i="36"/>
  <c r="J336" i="36"/>
  <c r="J337" i="36"/>
  <c r="J338" i="36"/>
  <c r="J339" i="36"/>
  <c r="J340" i="36"/>
  <c r="J341" i="36"/>
  <c r="J342" i="36"/>
  <c r="J343" i="36"/>
  <c r="J344" i="36"/>
  <c r="J345" i="36"/>
  <c r="J346" i="36"/>
  <c r="J347" i="36"/>
  <c r="J348" i="36"/>
  <c r="J349" i="36"/>
  <c r="J350" i="36"/>
  <c r="J351" i="36"/>
  <c r="J352" i="36"/>
  <c r="J353" i="36"/>
  <c r="J354" i="36"/>
  <c r="J355" i="36"/>
  <c r="J356" i="36"/>
  <c r="J357" i="36"/>
  <c r="J358" i="36"/>
  <c r="J359" i="36"/>
  <c r="J360" i="36"/>
  <c r="J361" i="36"/>
  <c r="J362" i="36"/>
  <c r="J363" i="36"/>
  <c r="J364" i="36"/>
  <c r="J365" i="36"/>
  <c r="J366" i="36"/>
  <c r="J367" i="36"/>
  <c r="J368" i="36"/>
  <c r="J369" i="36"/>
  <c r="J370" i="36"/>
  <c r="J371" i="36"/>
  <c r="J372" i="36"/>
  <c r="J373" i="36"/>
  <c r="J374" i="36"/>
  <c r="J375" i="36"/>
  <c r="J376" i="36"/>
  <c r="J377" i="36"/>
  <c r="J378" i="36"/>
  <c r="J379" i="36"/>
  <c r="J380" i="36"/>
  <c r="J381" i="36"/>
  <c r="J382" i="36"/>
  <c r="J383" i="36"/>
  <c r="J384" i="36"/>
  <c r="J385" i="36"/>
  <c r="J386" i="36"/>
  <c r="J387" i="36"/>
  <c r="J388" i="36"/>
  <c r="J389" i="36"/>
  <c r="J390" i="36"/>
  <c r="J391" i="36"/>
  <c r="J392" i="36"/>
  <c r="J393" i="36"/>
  <c r="J394" i="36"/>
  <c r="J395" i="36"/>
  <c r="J396" i="36"/>
  <c r="J397" i="36"/>
  <c r="J398" i="36"/>
  <c r="J399" i="36"/>
  <c r="J400" i="36"/>
  <c r="J401" i="36"/>
  <c r="J402" i="36"/>
  <c r="J403" i="36"/>
  <c r="J404" i="36"/>
  <c r="J405" i="36"/>
  <c r="J406" i="36"/>
  <c r="J407" i="36"/>
  <c r="J408" i="36"/>
  <c r="J409" i="36"/>
  <c r="J410" i="36"/>
  <c r="J411" i="36"/>
  <c r="J412" i="36"/>
  <c r="J413" i="36"/>
  <c r="J414" i="36"/>
  <c r="J415" i="36"/>
  <c r="J416" i="36"/>
  <c r="J417" i="36"/>
  <c r="J418" i="36"/>
  <c r="J419" i="36"/>
  <c r="J420" i="36"/>
  <c r="J421" i="36"/>
  <c r="J422" i="36"/>
  <c r="J423" i="36"/>
  <c r="J424" i="36"/>
  <c r="J425" i="36"/>
  <c r="J426" i="36"/>
  <c r="J427" i="36"/>
  <c r="J428" i="36"/>
  <c r="J429" i="36"/>
  <c r="J430" i="36"/>
  <c r="J431" i="36"/>
  <c r="J432" i="36"/>
  <c r="J433" i="36"/>
  <c r="J434" i="36"/>
  <c r="J435" i="36"/>
  <c r="J436" i="36"/>
  <c r="J437" i="36"/>
  <c r="J438" i="36"/>
  <c r="J439" i="36"/>
  <c r="J440" i="36"/>
  <c r="J441" i="36"/>
  <c r="J442" i="36"/>
  <c r="J443" i="36"/>
  <c r="J444" i="36"/>
  <c r="J445" i="36"/>
  <c r="J446" i="36"/>
  <c r="J447" i="36"/>
  <c r="J448" i="36"/>
  <c r="J449" i="36"/>
  <c r="J450" i="36"/>
  <c r="J451" i="36"/>
  <c r="J452" i="36"/>
  <c r="J453" i="36"/>
  <c r="J454" i="36"/>
  <c r="J455" i="36"/>
  <c r="J456" i="36"/>
  <c r="J457" i="36"/>
  <c r="J458" i="36"/>
  <c r="J459" i="36"/>
  <c r="J460" i="36"/>
  <c r="J461" i="36"/>
  <c r="J462" i="36"/>
  <c r="J463" i="36"/>
  <c r="J464" i="36"/>
  <c r="J465" i="36"/>
  <c r="J466" i="36"/>
  <c r="J467" i="36"/>
  <c r="J468" i="36"/>
  <c r="J469" i="36"/>
  <c r="J470" i="36"/>
  <c r="J471" i="36"/>
  <c r="J472" i="36"/>
  <c r="J473" i="36"/>
  <c r="J474" i="36"/>
  <c r="J475" i="36"/>
  <c r="J476" i="36"/>
  <c r="J477" i="36"/>
  <c r="J478" i="36"/>
  <c r="J479" i="36"/>
  <c r="J480" i="36"/>
  <c r="J481" i="36"/>
  <c r="J482" i="36"/>
  <c r="J483" i="36"/>
  <c r="J484" i="36"/>
  <c r="J485" i="36"/>
  <c r="J486" i="36"/>
  <c r="J487" i="36"/>
  <c r="J488" i="36"/>
  <c r="J489" i="36"/>
  <c r="J490" i="36"/>
  <c r="J491" i="36"/>
  <c r="J492" i="36"/>
  <c r="J493" i="36"/>
  <c r="J494" i="36"/>
  <c r="J495" i="36"/>
  <c r="J496" i="36"/>
  <c r="J497" i="36"/>
  <c r="J498" i="36"/>
  <c r="J499" i="36"/>
  <c r="J500" i="36"/>
  <c r="J501" i="36"/>
  <c r="J502" i="36"/>
  <c r="J503" i="36"/>
  <c r="J504" i="36"/>
  <c r="J505" i="36"/>
  <c r="J506" i="36"/>
  <c r="J507" i="36"/>
  <c r="J508" i="36"/>
  <c r="J509" i="36"/>
  <c r="J510" i="36"/>
  <c r="J511" i="36"/>
  <c r="J512" i="36"/>
  <c r="J513" i="36"/>
  <c r="J514" i="36"/>
  <c r="J515" i="36"/>
  <c r="J516" i="36"/>
  <c r="J517" i="36"/>
  <c r="J518" i="36"/>
  <c r="J519" i="36"/>
  <c r="J520" i="36"/>
  <c r="J521" i="36"/>
  <c r="J522" i="36"/>
  <c r="J523" i="36"/>
  <c r="J524" i="36"/>
  <c r="J525" i="36"/>
  <c r="J526" i="36"/>
  <c r="J527" i="36"/>
  <c r="J528" i="36"/>
  <c r="J529" i="36"/>
  <c r="J530" i="36"/>
  <c r="J531" i="36"/>
  <c r="J532" i="36"/>
  <c r="J533" i="36"/>
  <c r="J534" i="36"/>
  <c r="J535" i="36"/>
  <c r="J536" i="36"/>
  <c r="J537" i="36"/>
  <c r="J538" i="36"/>
  <c r="J539" i="36"/>
  <c r="J540" i="36"/>
  <c r="J541" i="36"/>
  <c r="J542" i="36"/>
  <c r="J543" i="36"/>
  <c r="J544" i="36"/>
  <c r="J545" i="36"/>
  <c r="J546" i="36"/>
  <c r="J547" i="36"/>
  <c r="J548" i="36"/>
  <c r="J549" i="36"/>
  <c r="J550" i="36"/>
  <c r="J551" i="36"/>
  <c r="J552" i="36"/>
  <c r="J553" i="36"/>
  <c r="J554" i="36"/>
  <c r="J555" i="36"/>
  <c r="J556" i="36"/>
  <c r="J557" i="36"/>
  <c r="J558" i="36"/>
  <c r="J559" i="36"/>
  <c r="J560" i="36"/>
  <c r="J561" i="36"/>
  <c r="J562" i="36"/>
  <c r="J563" i="36"/>
  <c r="J564" i="36"/>
  <c r="J565" i="36"/>
  <c r="J566" i="36"/>
  <c r="J567" i="36"/>
  <c r="J568" i="36"/>
  <c r="J569" i="36"/>
  <c r="J570" i="36"/>
  <c r="J571" i="36"/>
  <c r="J572" i="36"/>
  <c r="J573" i="36"/>
  <c r="J574" i="36"/>
  <c r="J575" i="36"/>
  <c r="J576" i="36"/>
  <c r="J577" i="36"/>
  <c r="J578" i="36"/>
  <c r="J579" i="36"/>
  <c r="J580" i="36"/>
  <c r="J581" i="36"/>
  <c r="J582" i="36"/>
  <c r="J583" i="36"/>
  <c r="J584" i="36"/>
  <c r="J585" i="36"/>
  <c r="J586" i="36"/>
  <c r="J587" i="36"/>
  <c r="J588" i="36"/>
  <c r="J589" i="36"/>
  <c r="J590" i="36"/>
  <c r="J591" i="36"/>
  <c r="J592" i="36"/>
  <c r="J593" i="36"/>
  <c r="J594" i="36"/>
  <c r="J595" i="36"/>
  <c r="J596" i="36"/>
  <c r="J597" i="36"/>
  <c r="J598" i="36"/>
  <c r="J599" i="36"/>
  <c r="J600" i="36"/>
  <c r="J601" i="36"/>
  <c r="J602" i="36"/>
  <c r="J603" i="36"/>
  <c r="J604" i="36"/>
  <c r="J605" i="36"/>
  <c r="J606" i="36"/>
  <c r="J607" i="36"/>
  <c r="J608" i="36"/>
  <c r="J609" i="36"/>
  <c r="J610" i="36"/>
  <c r="J611" i="36"/>
  <c r="J612" i="36"/>
  <c r="J613" i="36"/>
  <c r="J614" i="36"/>
  <c r="J615" i="36"/>
  <c r="J616" i="36"/>
  <c r="J617" i="36"/>
  <c r="J618" i="36"/>
  <c r="J619" i="36"/>
  <c r="J620" i="36"/>
  <c r="J621" i="36"/>
  <c r="J622" i="36"/>
  <c r="J623" i="36"/>
  <c r="J624" i="36"/>
  <c r="J625" i="36"/>
  <c r="J626" i="36"/>
  <c r="J627" i="36"/>
  <c r="J628" i="36"/>
  <c r="J629" i="36"/>
  <c r="J630" i="36"/>
  <c r="J631" i="36"/>
  <c r="J632" i="36"/>
  <c r="J633" i="36"/>
  <c r="J634" i="36"/>
  <c r="J635" i="36"/>
  <c r="J636" i="36"/>
  <c r="J637" i="36"/>
  <c r="J638" i="36"/>
  <c r="J639" i="36"/>
  <c r="J640" i="36"/>
  <c r="J641" i="36"/>
  <c r="J642" i="36"/>
  <c r="J643" i="36"/>
  <c r="J644" i="36"/>
  <c r="J645" i="36"/>
  <c r="J646" i="36"/>
  <c r="J647" i="36"/>
  <c r="J648" i="36"/>
  <c r="J649" i="36"/>
  <c r="J650" i="36"/>
  <c r="J651" i="36"/>
  <c r="J652" i="36"/>
  <c r="J653" i="36"/>
  <c r="J654" i="36"/>
  <c r="J655" i="36"/>
  <c r="J656" i="36"/>
  <c r="J657" i="36"/>
  <c r="J658" i="36"/>
  <c r="J659" i="36"/>
  <c r="J660" i="36"/>
  <c r="J661" i="36"/>
  <c r="J662" i="36"/>
  <c r="J663" i="36"/>
  <c r="J664" i="36"/>
  <c r="J665" i="36"/>
  <c r="J666" i="36"/>
  <c r="J667" i="36"/>
  <c r="J668" i="36"/>
  <c r="J669" i="36"/>
  <c r="J670" i="36"/>
  <c r="J671" i="36"/>
  <c r="J672" i="36"/>
  <c r="J673" i="36"/>
  <c r="J674" i="36"/>
  <c r="J675" i="36"/>
  <c r="J676" i="36"/>
  <c r="J677" i="36"/>
  <c r="J678" i="36"/>
  <c r="J679" i="36"/>
  <c r="J680" i="36"/>
  <c r="J681" i="36"/>
  <c r="J682" i="36"/>
  <c r="J683" i="36"/>
  <c r="J684" i="36"/>
  <c r="J685" i="36"/>
  <c r="J686" i="36"/>
  <c r="J687" i="36"/>
  <c r="J688" i="36"/>
  <c r="J689" i="36"/>
  <c r="J690" i="36"/>
  <c r="J691" i="36"/>
  <c r="J692" i="36"/>
  <c r="J693" i="36"/>
  <c r="J694" i="36"/>
  <c r="J695" i="36"/>
  <c r="J696" i="36"/>
  <c r="J697" i="36"/>
  <c r="J698" i="36"/>
  <c r="J699" i="36"/>
  <c r="J700" i="36"/>
  <c r="J701" i="36"/>
  <c r="J702" i="36"/>
  <c r="J703" i="36"/>
  <c r="J704" i="36"/>
  <c r="J705" i="36"/>
  <c r="J706" i="36"/>
  <c r="J707" i="36"/>
  <c r="J708" i="36"/>
  <c r="J709" i="36"/>
  <c r="J710" i="36"/>
  <c r="J711" i="36"/>
  <c r="J712" i="36"/>
  <c r="J713" i="36"/>
  <c r="J714" i="36"/>
  <c r="J715" i="36"/>
  <c r="J716" i="36"/>
  <c r="J717" i="36"/>
  <c r="J718" i="36"/>
  <c r="J719" i="36"/>
  <c r="J720" i="36"/>
  <c r="J721" i="36"/>
  <c r="J722" i="36"/>
  <c r="J723" i="36"/>
  <c r="J724" i="36"/>
  <c r="J725" i="36"/>
  <c r="J726" i="36"/>
  <c r="J727" i="36"/>
  <c r="J728" i="36"/>
  <c r="J729" i="36"/>
  <c r="J730" i="36"/>
  <c r="J731" i="36"/>
  <c r="J732" i="36"/>
  <c r="J733" i="36"/>
  <c r="J734" i="36"/>
  <c r="J735" i="36"/>
  <c r="J736" i="36"/>
  <c r="J737" i="36"/>
  <c r="J738" i="36"/>
  <c r="J739" i="36"/>
  <c r="J740" i="36"/>
  <c r="J741" i="36"/>
  <c r="J742" i="36"/>
  <c r="J743" i="36"/>
  <c r="J744" i="36"/>
  <c r="J745" i="36"/>
  <c r="J746" i="36"/>
  <c r="J747" i="36"/>
  <c r="J748" i="36"/>
  <c r="J749" i="36"/>
  <c r="J750" i="36"/>
  <c r="J751" i="36"/>
  <c r="J752" i="36"/>
  <c r="J753" i="36"/>
  <c r="J754" i="36"/>
  <c r="J755" i="36"/>
  <c r="J756" i="36"/>
  <c r="J757" i="36"/>
  <c r="J758" i="36"/>
  <c r="J759" i="36"/>
  <c r="J760" i="36"/>
  <c r="J761" i="36"/>
  <c r="J762" i="36"/>
  <c r="J763" i="36"/>
  <c r="J764" i="36"/>
  <c r="J765" i="36"/>
  <c r="J766" i="36"/>
  <c r="J767" i="36"/>
  <c r="J768" i="36"/>
  <c r="J769" i="36"/>
  <c r="J770" i="36"/>
  <c r="J771" i="36"/>
  <c r="J772" i="36"/>
  <c r="J773" i="36"/>
  <c r="J774" i="36"/>
  <c r="J775" i="36"/>
  <c r="J776" i="36"/>
  <c r="J777" i="36"/>
  <c r="J778" i="36"/>
  <c r="J779" i="36"/>
  <c r="J780" i="36"/>
  <c r="J781" i="36"/>
  <c r="J782" i="36"/>
  <c r="J783" i="36"/>
  <c r="J784" i="36"/>
  <c r="J785" i="36"/>
  <c r="J786" i="36"/>
  <c r="J787" i="36"/>
  <c r="J788" i="36"/>
  <c r="J789" i="36"/>
  <c r="J790" i="36"/>
  <c r="J791" i="36"/>
  <c r="J792" i="36"/>
  <c r="J793" i="36"/>
  <c r="J794" i="36"/>
  <c r="J795" i="36"/>
  <c r="J796" i="36"/>
  <c r="J797" i="36"/>
  <c r="J798" i="36"/>
  <c r="J799" i="36"/>
  <c r="J800" i="36"/>
  <c r="J801" i="36"/>
  <c r="J802" i="36"/>
  <c r="J803" i="36"/>
  <c r="J804" i="36"/>
  <c r="J805" i="36"/>
  <c r="J806" i="36"/>
  <c r="J807" i="36"/>
  <c r="J808" i="36"/>
  <c r="J809" i="36"/>
  <c r="J810" i="36"/>
  <c r="J811" i="36"/>
  <c r="J812" i="36"/>
  <c r="J813" i="36"/>
  <c r="J814" i="36"/>
  <c r="J815" i="36"/>
  <c r="J816" i="36"/>
  <c r="J817" i="36"/>
  <c r="J818" i="36"/>
  <c r="J819" i="36"/>
  <c r="J820" i="36"/>
  <c r="J821" i="36"/>
  <c r="J822" i="36"/>
  <c r="J823" i="36"/>
  <c r="J824" i="36"/>
  <c r="J825" i="36"/>
  <c r="J826" i="36"/>
  <c r="J827" i="36"/>
  <c r="J828" i="36"/>
  <c r="J829" i="36"/>
  <c r="J830" i="36"/>
  <c r="J831" i="36"/>
  <c r="J832" i="36"/>
  <c r="J833" i="36"/>
  <c r="J834" i="36"/>
  <c r="J835" i="36"/>
  <c r="J836" i="36"/>
  <c r="J837" i="36"/>
  <c r="J838" i="36"/>
  <c r="J839" i="36"/>
  <c r="J840" i="36"/>
  <c r="J841" i="36"/>
  <c r="J842" i="36"/>
  <c r="J843" i="36"/>
  <c r="J844" i="36"/>
  <c r="J845" i="36"/>
  <c r="J846" i="36"/>
  <c r="J847" i="36"/>
  <c r="J848" i="36"/>
  <c r="J849" i="36"/>
  <c r="J850" i="36"/>
  <c r="J851" i="36"/>
  <c r="J852" i="36"/>
  <c r="J853" i="36"/>
  <c r="J854" i="36"/>
  <c r="J855" i="36"/>
  <c r="J856" i="36"/>
  <c r="J857" i="36"/>
  <c r="J858" i="36"/>
  <c r="J859" i="36"/>
  <c r="J860" i="36"/>
  <c r="J861" i="36"/>
  <c r="J862" i="36"/>
  <c r="J863" i="36"/>
  <c r="J864" i="36"/>
  <c r="J865" i="36"/>
  <c r="J866" i="36"/>
  <c r="J867" i="36"/>
  <c r="J868" i="36"/>
  <c r="J869" i="36"/>
  <c r="J870" i="36"/>
  <c r="J871" i="36"/>
  <c r="J872" i="36"/>
  <c r="J873" i="36"/>
  <c r="J874" i="36"/>
  <c r="J875" i="36"/>
  <c r="J876" i="36"/>
  <c r="J877" i="36"/>
  <c r="J878" i="36"/>
  <c r="J879" i="36"/>
  <c r="J880" i="36"/>
  <c r="J881" i="36"/>
  <c r="I5" i="36"/>
  <c r="I6" i="36"/>
  <c r="I7" i="36"/>
  <c r="I8" i="36"/>
  <c r="I9" i="36"/>
  <c r="I10" i="36"/>
  <c r="I11" i="36"/>
  <c r="I12" i="36"/>
  <c r="I13" i="36"/>
  <c r="I14" i="36"/>
  <c r="I15" i="36"/>
  <c r="I16" i="36"/>
  <c r="I17" i="36"/>
  <c r="I18" i="36"/>
  <c r="I19" i="36"/>
  <c r="I20" i="36"/>
  <c r="I21" i="36"/>
  <c r="I22" i="36"/>
  <c r="I23" i="36"/>
  <c r="I24" i="36"/>
  <c r="I25" i="36"/>
  <c r="I26" i="36"/>
  <c r="I27" i="36"/>
  <c r="I28" i="36"/>
  <c r="I29" i="36"/>
  <c r="I30" i="36"/>
  <c r="I31" i="36"/>
  <c r="I32" i="36"/>
  <c r="I33" i="36"/>
  <c r="I34" i="36"/>
  <c r="I35" i="36"/>
  <c r="I36" i="36"/>
  <c r="I37" i="36"/>
  <c r="I38" i="36"/>
  <c r="I39" i="36"/>
  <c r="I40" i="36"/>
  <c r="I41" i="36"/>
  <c r="I42" i="36"/>
  <c r="I43" i="36"/>
  <c r="I44" i="36"/>
  <c r="I45" i="36"/>
  <c r="I46" i="36"/>
  <c r="I47" i="36"/>
  <c r="I48" i="36"/>
  <c r="I49" i="36"/>
  <c r="I50" i="36"/>
  <c r="I51" i="36"/>
  <c r="I52" i="36"/>
  <c r="I53" i="36"/>
  <c r="I54" i="36"/>
  <c r="I55" i="36"/>
  <c r="I56" i="36"/>
  <c r="I57" i="36"/>
  <c r="I58" i="36"/>
  <c r="I59" i="36"/>
  <c r="I60" i="36"/>
  <c r="I61" i="36"/>
  <c r="I62" i="36"/>
  <c r="I63" i="36"/>
  <c r="I64" i="36"/>
  <c r="I65" i="36"/>
  <c r="I66" i="36"/>
  <c r="I67" i="36"/>
  <c r="I68" i="36"/>
  <c r="I69" i="36"/>
  <c r="I70" i="36"/>
  <c r="I71" i="36"/>
  <c r="I72" i="36"/>
  <c r="I73" i="36"/>
  <c r="I74" i="36"/>
  <c r="I75" i="36"/>
  <c r="I76" i="36"/>
  <c r="I77" i="36"/>
  <c r="I78" i="36"/>
  <c r="I79" i="36"/>
  <c r="I80" i="36"/>
  <c r="I81" i="36"/>
  <c r="I82" i="36"/>
  <c r="I83" i="36"/>
  <c r="I84" i="36"/>
  <c r="I85" i="36"/>
  <c r="I86" i="36"/>
  <c r="I87" i="36"/>
  <c r="I88" i="36"/>
  <c r="I89" i="36"/>
  <c r="I90" i="36"/>
  <c r="I91" i="36"/>
  <c r="I92" i="36"/>
  <c r="I93" i="36"/>
  <c r="I94" i="36"/>
  <c r="I95" i="36"/>
  <c r="I96" i="36"/>
  <c r="I97" i="36"/>
  <c r="I98" i="36"/>
  <c r="I99" i="36"/>
  <c r="I100" i="36"/>
  <c r="I101" i="36"/>
  <c r="I102" i="36"/>
  <c r="I103" i="36"/>
  <c r="I104" i="36"/>
  <c r="I105" i="36"/>
  <c r="I106" i="36"/>
  <c r="I107" i="36"/>
  <c r="I108" i="36"/>
  <c r="I109" i="36"/>
  <c r="I110" i="36"/>
  <c r="I111" i="36"/>
  <c r="I112" i="36"/>
  <c r="I113" i="36"/>
  <c r="I114" i="36"/>
  <c r="I115" i="36"/>
  <c r="I116" i="36"/>
  <c r="I117" i="36"/>
  <c r="I118" i="36"/>
  <c r="I119" i="36"/>
  <c r="I120" i="36"/>
  <c r="I121" i="36"/>
  <c r="I122" i="36"/>
  <c r="I123" i="36"/>
  <c r="I124" i="36"/>
  <c r="I125" i="36"/>
  <c r="I126" i="36"/>
  <c r="I127" i="36"/>
  <c r="I128" i="36"/>
  <c r="I129" i="36"/>
  <c r="I130" i="36"/>
  <c r="I131" i="36"/>
  <c r="I132" i="36"/>
  <c r="I133" i="36"/>
  <c r="I134" i="36"/>
  <c r="I135" i="36"/>
  <c r="I136" i="36"/>
  <c r="I137" i="36"/>
  <c r="I138" i="36"/>
  <c r="I139" i="36"/>
  <c r="I140" i="36"/>
  <c r="I141" i="36"/>
  <c r="I142" i="36"/>
  <c r="I143" i="36"/>
  <c r="I144" i="36"/>
  <c r="I145" i="36"/>
  <c r="I146" i="36"/>
  <c r="I147" i="36"/>
  <c r="I148" i="36"/>
  <c r="I149" i="36"/>
  <c r="I150" i="36"/>
  <c r="I151" i="36"/>
  <c r="I152" i="36"/>
  <c r="I153" i="36"/>
  <c r="I154" i="36"/>
  <c r="I155" i="36"/>
  <c r="I156" i="36"/>
  <c r="I157" i="36"/>
  <c r="I158" i="36"/>
  <c r="I159" i="36"/>
  <c r="I160" i="36"/>
  <c r="I161" i="36"/>
  <c r="I162" i="36"/>
  <c r="I163" i="36"/>
  <c r="I164" i="36"/>
  <c r="I165" i="36"/>
  <c r="I166" i="36"/>
  <c r="I167" i="36"/>
  <c r="I168" i="36"/>
  <c r="I169" i="36"/>
  <c r="I170" i="36"/>
  <c r="I171" i="36"/>
  <c r="I172" i="36"/>
  <c r="I173" i="36"/>
  <c r="I174" i="36"/>
  <c r="I175" i="36"/>
  <c r="I176" i="36"/>
  <c r="I177" i="36"/>
  <c r="I178" i="36"/>
  <c r="I179" i="36"/>
  <c r="I180" i="36"/>
  <c r="I181" i="36"/>
  <c r="I182" i="36"/>
  <c r="I183" i="36"/>
  <c r="I184" i="36"/>
  <c r="I185" i="36"/>
  <c r="I186" i="36"/>
  <c r="I187" i="36"/>
  <c r="I188" i="36"/>
  <c r="I189" i="36"/>
  <c r="I190" i="36"/>
  <c r="I191" i="36"/>
  <c r="I192" i="36"/>
  <c r="I193" i="36"/>
  <c r="I194" i="36"/>
  <c r="I195" i="36"/>
  <c r="I196" i="36"/>
  <c r="I197" i="36"/>
  <c r="I198" i="36"/>
  <c r="I199" i="36"/>
  <c r="I200" i="36"/>
  <c r="I201" i="36"/>
  <c r="I202" i="36"/>
  <c r="I203" i="36"/>
  <c r="I204" i="36"/>
  <c r="I205" i="36"/>
  <c r="I206" i="36"/>
  <c r="I207" i="36"/>
  <c r="I208" i="36"/>
  <c r="I209" i="36"/>
  <c r="I210" i="36"/>
  <c r="I211" i="36"/>
  <c r="I212" i="36"/>
  <c r="I213" i="36"/>
  <c r="I214" i="36"/>
  <c r="I215" i="36"/>
  <c r="I216" i="36"/>
  <c r="I217" i="36"/>
  <c r="I218" i="36"/>
  <c r="I219" i="36"/>
  <c r="I220" i="36"/>
  <c r="I221" i="36"/>
  <c r="I222" i="36"/>
  <c r="I223" i="36"/>
  <c r="I224" i="36"/>
  <c r="I225" i="36"/>
  <c r="I226" i="36"/>
  <c r="I227" i="36"/>
  <c r="I228" i="36"/>
  <c r="I229" i="36"/>
  <c r="I230" i="36"/>
  <c r="I231" i="36"/>
  <c r="I232" i="36"/>
  <c r="I233" i="36"/>
  <c r="I234" i="36"/>
  <c r="I235" i="36"/>
  <c r="I236" i="36"/>
  <c r="I237" i="36"/>
  <c r="I238" i="36"/>
  <c r="I239" i="36"/>
  <c r="I240" i="36"/>
  <c r="I241" i="36"/>
  <c r="I242" i="36"/>
  <c r="I243" i="36"/>
  <c r="I244" i="36"/>
  <c r="I245" i="36"/>
  <c r="I246" i="36"/>
  <c r="I247" i="36"/>
  <c r="I248" i="36"/>
  <c r="I249" i="36"/>
  <c r="I250" i="36"/>
  <c r="I251" i="36"/>
  <c r="I252" i="36"/>
  <c r="I253" i="36"/>
  <c r="I254" i="36"/>
  <c r="I255" i="36"/>
  <c r="I256" i="36"/>
  <c r="I257" i="36"/>
  <c r="I258" i="36"/>
  <c r="I259" i="36"/>
  <c r="I260" i="36"/>
  <c r="I261" i="36"/>
  <c r="I262" i="36"/>
  <c r="I263" i="36"/>
  <c r="I264" i="36"/>
  <c r="I265" i="36"/>
  <c r="I266" i="36"/>
  <c r="I267" i="36"/>
  <c r="I268" i="36"/>
  <c r="I269" i="36"/>
  <c r="I270" i="36"/>
  <c r="I271" i="36"/>
  <c r="I272" i="36"/>
  <c r="I273" i="36"/>
  <c r="I274" i="36"/>
  <c r="I275" i="36"/>
  <c r="I276" i="36"/>
  <c r="I277" i="36"/>
  <c r="I278" i="36"/>
  <c r="I279" i="36"/>
  <c r="I280" i="36"/>
  <c r="I281" i="36"/>
  <c r="I282" i="36"/>
  <c r="I283" i="36"/>
  <c r="I284" i="36"/>
  <c r="I285" i="36"/>
  <c r="I286" i="36"/>
  <c r="I287" i="36"/>
  <c r="I288" i="36"/>
  <c r="I289" i="36"/>
  <c r="I290" i="36"/>
  <c r="I291" i="36"/>
  <c r="I292" i="36"/>
  <c r="I293" i="36"/>
  <c r="I294" i="36"/>
  <c r="I295" i="36"/>
  <c r="I296" i="36"/>
  <c r="I297" i="36"/>
  <c r="I298" i="36"/>
  <c r="I299" i="36"/>
  <c r="I300" i="36"/>
  <c r="I301" i="36"/>
  <c r="I302" i="36"/>
  <c r="I303" i="36"/>
  <c r="I304" i="36"/>
  <c r="I305" i="36"/>
  <c r="I306" i="36"/>
  <c r="I307" i="36"/>
  <c r="I308" i="36"/>
  <c r="I309" i="36"/>
  <c r="I310" i="36"/>
  <c r="I311" i="36"/>
  <c r="I312" i="36"/>
  <c r="I313" i="36"/>
  <c r="I314" i="36"/>
  <c r="I315" i="36"/>
  <c r="I316" i="36"/>
  <c r="I317" i="36"/>
  <c r="I318" i="36"/>
  <c r="I319" i="36"/>
  <c r="I320" i="36"/>
  <c r="I321" i="36"/>
  <c r="I322" i="36"/>
  <c r="I323" i="36"/>
  <c r="I324" i="36"/>
  <c r="I325" i="36"/>
  <c r="I326" i="36"/>
  <c r="I327" i="36"/>
  <c r="I328" i="36"/>
  <c r="I329" i="36"/>
  <c r="I330" i="36"/>
  <c r="I331" i="36"/>
  <c r="I332" i="36"/>
  <c r="I333" i="36"/>
  <c r="I334" i="36"/>
  <c r="I335" i="36"/>
  <c r="I336" i="36"/>
  <c r="I337" i="36"/>
  <c r="I338" i="36"/>
  <c r="I339" i="36"/>
  <c r="I340" i="36"/>
  <c r="I341" i="36"/>
  <c r="I342" i="36"/>
  <c r="I343" i="36"/>
  <c r="I344" i="36"/>
  <c r="I345" i="36"/>
  <c r="I346" i="36"/>
  <c r="I347" i="36"/>
  <c r="I348" i="36"/>
  <c r="I349" i="36"/>
  <c r="I350" i="36"/>
  <c r="I351" i="36"/>
  <c r="I352" i="36"/>
  <c r="I353" i="36"/>
  <c r="I354" i="36"/>
  <c r="I355" i="36"/>
  <c r="I356" i="36"/>
  <c r="I357" i="36"/>
  <c r="I358" i="36"/>
  <c r="I359" i="36"/>
  <c r="I360" i="36"/>
  <c r="I361" i="36"/>
  <c r="I362" i="36"/>
  <c r="I363" i="36"/>
  <c r="I364" i="36"/>
  <c r="I365" i="36"/>
  <c r="I366" i="36"/>
  <c r="I367" i="36"/>
  <c r="I368" i="36"/>
  <c r="I369" i="36"/>
  <c r="I370" i="36"/>
  <c r="I371" i="36"/>
  <c r="I372" i="36"/>
  <c r="I373" i="36"/>
  <c r="I374" i="36"/>
  <c r="I375" i="36"/>
  <c r="I376" i="36"/>
  <c r="I377" i="36"/>
  <c r="I378" i="36"/>
  <c r="I379" i="36"/>
  <c r="I380" i="36"/>
  <c r="I381" i="36"/>
  <c r="I382" i="36"/>
  <c r="I383" i="36"/>
  <c r="I384" i="36"/>
  <c r="I385" i="36"/>
  <c r="I386" i="36"/>
  <c r="I387" i="36"/>
  <c r="I388" i="36"/>
  <c r="I389" i="36"/>
  <c r="I390" i="36"/>
  <c r="I391" i="36"/>
  <c r="I392" i="36"/>
  <c r="I393" i="36"/>
  <c r="I394" i="36"/>
  <c r="I395" i="36"/>
  <c r="I396" i="36"/>
  <c r="I397" i="36"/>
  <c r="I398" i="36"/>
  <c r="I399" i="36"/>
  <c r="I400" i="36"/>
  <c r="I401" i="36"/>
  <c r="I402" i="36"/>
  <c r="I403" i="36"/>
  <c r="I404" i="36"/>
  <c r="I405" i="36"/>
  <c r="I406" i="36"/>
  <c r="I407" i="36"/>
  <c r="I408" i="36"/>
  <c r="I409" i="36"/>
  <c r="I410" i="36"/>
  <c r="I411" i="36"/>
  <c r="I412" i="36"/>
  <c r="I413" i="36"/>
  <c r="I414" i="36"/>
  <c r="I415" i="36"/>
  <c r="I416" i="36"/>
  <c r="I417" i="36"/>
  <c r="I418" i="36"/>
  <c r="I419" i="36"/>
  <c r="I420" i="36"/>
  <c r="I421" i="36"/>
  <c r="I422" i="36"/>
  <c r="I423" i="36"/>
  <c r="I424" i="36"/>
  <c r="I425" i="36"/>
  <c r="I426" i="36"/>
  <c r="I427" i="36"/>
  <c r="I428" i="36"/>
  <c r="I429" i="36"/>
  <c r="I430" i="36"/>
  <c r="I431" i="36"/>
  <c r="I432" i="36"/>
  <c r="I433" i="36"/>
  <c r="I434" i="36"/>
  <c r="I435" i="36"/>
  <c r="I436" i="36"/>
  <c r="I437" i="36"/>
  <c r="I438" i="36"/>
  <c r="I439" i="36"/>
  <c r="I440" i="36"/>
  <c r="I441" i="36"/>
  <c r="I442" i="36"/>
  <c r="I443" i="36"/>
  <c r="I444" i="36"/>
  <c r="I445" i="36"/>
  <c r="I446" i="36"/>
  <c r="I447" i="36"/>
  <c r="I448" i="36"/>
  <c r="I449" i="36"/>
  <c r="I450" i="36"/>
  <c r="I451" i="36"/>
  <c r="I452" i="36"/>
  <c r="I453" i="36"/>
  <c r="I454" i="36"/>
  <c r="I455" i="36"/>
  <c r="I456" i="36"/>
  <c r="I457" i="36"/>
  <c r="I458" i="36"/>
  <c r="I459" i="36"/>
  <c r="I460" i="36"/>
  <c r="I461" i="36"/>
  <c r="I462" i="36"/>
  <c r="I463" i="36"/>
  <c r="I464" i="36"/>
  <c r="I465" i="36"/>
  <c r="I466" i="36"/>
  <c r="I467" i="36"/>
  <c r="I468" i="36"/>
  <c r="I469" i="36"/>
  <c r="I470" i="36"/>
  <c r="I471" i="36"/>
  <c r="I472" i="36"/>
  <c r="I473" i="36"/>
  <c r="I474" i="36"/>
  <c r="I475" i="36"/>
  <c r="I476" i="36"/>
  <c r="I477" i="36"/>
  <c r="I478" i="36"/>
  <c r="I479" i="36"/>
  <c r="I480" i="36"/>
  <c r="I481" i="36"/>
  <c r="I482" i="36"/>
  <c r="I483" i="36"/>
  <c r="I484" i="36"/>
  <c r="I485" i="36"/>
  <c r="I486" i="36"/>
  <c r="I487" i="36"/>
  <c r="I488" i="36"/>
  <c r="I489" i="36"/>
  <c r="I490" i="36"/>
  <c r="I491" i="36"/>
  <c r="I492" i="36"/>
  <c r="I493" i="36"/>
  <c r="I494" i="36"/>
  <c r="I495" i="36"/>
  <c r="I496" i="36"/>
  <c r="I497" i="36"/>
  <c r="I498" i="36"/>
  <c r="I499" i="36"/>
  <c r="I500" i="36"/>
  <c r="I501" i="36"/>
  <c r="I502" i="36"/>
  <c r="I503" i="36"/>
  <c r="I504" i="36"/>
  <c r="I505" i="36"/>
  <c r="I506" i="36"/>
  <c r="I507" i="36"/>
  <c r="I508" i="36"/>
  <c r="I509" i="36"/>
  <c r="I510" i="36"/>
  <c r="I511" i="36"/>
  <c r="I512" i="36"/>
  <c r="I513" i="36"/>
  <c r="I514" i="36"/>
  <c r="I515" i="36"/>
  <c r="I516" i="36"/>
  <c r="I517" i="36"/>
  <c r="I518" i="36"/>
  <c r="I519" i="36"/>
  <c r="I520" i="36"/>
  <c r="I521" i="36"/>
  <c r="I522" i="36"/>
  <c r="I523" i="36"/>
  <c r="I524" i="36"/>
  <c r="I525" i="36"/>
  <c r="I526" i="36"/>
  <c r="I527" i="36"/>
  <c r="I528" i="36"/>
  <c r="I529" i="36"/>
  <c r="I530" i="36"/>
  <c r="I531" i="36"/>
  <c r="I532" i="36"/>
  <c r="I533" i="36"/>
  <c r="I534" i="36"/>
  <c r="I535" i="36"/>
  <c r="I536" i="36"/>
  <c r="I537" i="36"/>
  <c r="I538" i="36"/>
  <c r="I539" i="36"/>
  <c r="I540" i="36"/>
  <c r="I541" i="36"/>
  <c r="I542" i="36"/>
  <c r="I543" i="36"/>
  <c r="I544" i="36"/>
  <c r="I545" i="36"/>
  <c r="I546" i="36"/>
  <c r="I547" i="36"/>
  <c r="I548" i="36"/>
  <c r="I549" i="36"/>
  <c r="I550" i="36"/>
  <c r="I551" i="36"/>
  <c r="I552" i="36"/>
  <c r="I553" i="36"/>
  <c r="I554" i="36"/>
  <c r="I555" i="36"/>
  <c r="I556" i="36"/>
  <c r="I557" i="36"/>
  <c r="I558" i="36"/>
  <c r="I559" i="36"/>
  <c r="I560" i="36"/>
  <c r="I561" i="36"/>
  <c r="I562" i="36"/>
  <c r="I563" i="36"/>
  <c r="I564" i="36"/>
  <c r="I565" i="36"/>
  <c r="I566" i="36"/>
  <c r="I567" i="36"/>
  <c r="I568" i="36"/>
  <c r="I569" i="36"/>
  <c r="I570" i="36"/>
  <c r="I571" i="36"/>
  <c r="I572" i="36"/>
  <c r="I573" i="36"/>
  <c r="I574" i="36"/>
  <c r="I575" i="36"/>
  <c r="I576" i="36"/>
  <c r="I577" i="36"/>
  <c r="I578" i="36"/>
  <c r="I579" i="36"/>
  <c r="I580" i="36"/>
  <c r="I581" i="36"/>
  <c r="I582" i="36"/>
  <c r="I583" i="36"/>
  <c r="I584" i="36"/>
  <c r="I585" i="36"/>
  <c r="I586" i="36"/>
  <c r="I587" i="36"/>
  <c r="I588" i="36"/>
  <c r="I589" i="36"/>
  <c r="I590" i="36"/>
  <c r="I591" i="36"/>
  <c r="I592" i="36"/>
  <c r="I593" i="36"/>
  <c r="I594" i="36"/>
  <c r="I595" i="36"/>
  <c r="I596" i="36"/>
  <c r="I597" i="36"/>
  <c r="I598" i="36"/>
  <c r="I599" i="36"/>
  <c r="I600" i="36"/>
  <c r="I601" i="36"/>
  <c r="I602" i="36"/>
  <c r="I603" i="36"/>
  <c r="I604" i="36"/>
  <c r="I605" i="36"/>
  <c r="I606" i="36"/>
  <c r="I607" i="36"/>
  <c r="I608" i="36"/>
  <c r="I609" i="36"/>
  <c r="I610" i="36"/>
  <c r="I611" i="36"/>
  <c r="I612" i="36"/>
  <c r="I613" i="36"/>
  <c r="I614" i="36"/>
  <c r="I615" i="36"/>
  <c r="I616" i="36"/>
  <c r="I617" i="36"/>
  <c r="I618" i="36"/>
  <c r="I619" i="36"/>
  <c r="I620" i="36"/>
  <c r="I621" i="36"/>
  <c r="I622" i="36"/>
  <c r="I623" i="36"/>
  <c r="I624" i="36"/>
  <c r="I625" i="36"/>
  <c r="I626" i="36"/>
  <c r="I627" i="36"/>
  <c r="I628" i="36"/>
  <c r="I629" i="36"/>
  <c r="I630" i="36"/>
  <c r="I631" i="36"/>
  <c r="I632" i="36"/>
  <c r="I633" i="36"/>
  <c r="I634" i="36"/>
  <c r="I635" i="36"/>
  <c r="I636" i="36"/>
  <c r="I637" i="36"/>
  <c r="I638" i="36"/>
  <c r="I639" i="36"/>
  <c r="I640" i="36"/>
  <c r="I641" i="36"/>
  <c r="I642" i="36"/>
  <c r="I643" i="36"/>
  <c r="I644" i="36"/>
  <c r="I645" i="36"/>
  <c r="I646" i="36"/>
  <c r="I647" i="36"/>
  <c r="I648" i="36"/>
  <c r="I649" i="36"/>
  <c r="I650" i="36"/>
  <c r="I651" i="36"/>
  <c r="I652" i="36"/>
  <c r="I653" i="36"/>
  <c r="I654" i="36"/>
  <c r="I655" i="36"/>
  <c r="I656" i="36"/>
  <c r="I657" i="36"/>
  <c r="I658" i="36"/>
  <c r="I659" i="36"/>
  <c r="I660" i="36"/>
  <c r="I661" i="36"/>
  <c r="I662" i="36"/>
  <c r="I663" i="36"/>
  <c r="I664" i="36"/>
  <c r="I665" i="36"/>
  <c r="I666" i="36"/>
  <c r="I667" i="36"/>
  <c r="I668" i="36"/>
  <c r="I669" i="36"/>
  <c r="I670" i="36"/>
  <c r="I671" i="36"/>
  <c r="I672" i="36"/>
  <c r="I673" i="36"/>
  <c r="I674" i="36"/>
  <c r="I675" i="36"/>
  <c r="I676" i="36"/>
  <c r="I677" i="36"/>
  <c r="I678" i="36"/>
  <c r="I679" i="36"/>
  <c r="I680" i="36"/>
  <c r="I681" i="36"/>
  <c r="I682" i="36"/>
  <c r="I683" i="36"/>
  <c r="I684" i="36"/>
  <c r="I685" i="36"/>
  <c r="I686" i="36"/>
  <c r="I687" i="36"/>
  <c r="I688" i="36"/>
  <c r="I689" i="36"/>
  <c r="I690" i="36"/>
  <c r="I691" i="36"/>
  <c r="I692" i="36"/>
  <c r="I693" i="36"/>
  <c r="I694" i="36"/>
  <c r="I695" i="36"/>
  <c r="I696" i="36"/>
  <c r="I697" i="36"/>
  <c r="I698" i="36"/>
  <c r="I699" i="36"/>
  <c r="I700" i="36"/>
  <c r="I701" i="36"/>
  <c r="I702" i="36"/>
  <c r="I703" i="36"/>
  <c r="I704" i="36"/>
  <c r="I705" i="36"/>
  <c r="I706" i="36"/>
  <c r="I707" i="36"/>
  <c r="I708" i="36"/>
  <c r="I709" i="36"/>
  <c r="I710" i="36"/>
  <c r="I711" i="36"/>
  <c r="I712" i="36"/>
  <c r="I713" i="36"/>
  <c r="I714" i="36"/>
  <c r="I715" i="36"/>
  <c r="I716" i="36"/>
  <c r="I717" i="36"/>
  <c r="I718" i="36"/>
  <c r="I719" i="36"/>
  <c r="I720" i="36"/>
  <c r="I721" i="36"/>
  <c r="I722" i="36"/>
  <c r="I723" i="36"/>
  <c r="I724" i="36"/>
  <c r="I725" i="36"/>
  <c r="I726" i="36"/>
  <c r="I727" i="36"/>
  <c r="I728" i="36"/>
  <c r="I729" i="36"/>
  <c r="I730" i="36"/>
  <c r="I731" i="36"/>
  <c r="I732" i="36"/>
  <c r="I733" i="36"/>
  <c r="I734" i="36"/>
  <c r="I735" i="36"/>
  <c r="I736" i="36"/>
  <c r="I737" i="36"/>
  <c r="I738" i="36"/>
  <c r="I739" i="36"/>
  <c r="I740" i="36"/>
  <c r="I741" i="36"/>
  <c r="I742" i="36"/>
  <c r="I743" i="36"/>
  <c r="I744" i="36"/>
  <c r="I745" i="36"/>
  <c r="I746" i="36"/>
  <c r="I747" i="36"/>
  <c r="I748" i="36"/>
  <c r="I749" i="36"/>
  <c r="I750" i="36"/>
  <c r="I751" i="36"/>
  <c r="I752" i="36"/>
  <c r="I753" i="36"/>
  <c r="I754" i="36"/>
  <c r="I755" i="36"/>
  <c r="I756" i="36"/>
  <c r="I757" i="36"/>
  <c r="I758" i="36"/>
  <c r="I759" i="36"/>
  <c r="I760" i="36"/>
  <c r="I761" i="36"/>
  <c r="I762" i="36"/>
  <c r="I763" i="36"/>
  <c r="I764" i="36"/>
  <c r="I765" i="36"/>
  <c r="I766" i="36"/>
  <c r="I767" i="36"/>
  <c r="I768" i="36"/>
  <c r="I769" i="36"/>
  <c r="I770" i="36"/>
  <c r="I771" i="36"/>
  <c r="I772" i="36"/>
  <c r="I773" i="36"/>
  <c r="I774" i="36"/>
  <c r="I775" i="36"/>
  <c r="I776" i="36"/>
  <c r="I777" i="36"/>
  <c r="I778" i="36"/>
  <c r="I779" i="36"/>
  <c r="I780" i="36"/>
  <c r="I781" i="36"/>
  <c r="I782" i="36"/>
  <c r="I783" i="36"/>
  <c r="I784" i="36"/>
  <c r="I785" i="36"/>
  <c r="I786" i="36"/>
  <c r="I787" i="36"/>
  <c r="I788" i="36"/>
  <c r="I789" i="36"/>
  <c r="I790" i="36"/>
  <c r="I791" i="36"/>
  <c r="I792" i="36"/>
  <c r="I793" i="36"/>
  <c r="I794" i="36"/>
  <c r="I795" i="36"/>
  <c r="I796" i="36"/>
  <c r="I797" i="36"/>
  <c r="I798" i="36"/>
  <c r="I799" i="36"/>
  <c r="I800" i="36"/>
  <c r="I801" i="36"/>
  <c r="I802" i="36"/>
  <c r="I803" i="36"/>
  <c r="I804" i="36"/>
  <c r="I805" i="36"/>
  <c r="I806" i="36"/>
  <c r="I807" i="36"/>
  <c r="I808" i="36"/>
  <c r="I809" i="36"/>
  <c r="I810" i="36"/>
  <c r="I811" i="36"/>
  <c r="I812" i="36"/>
  <c r="I813" i="36"/>
  <c r="I814" i="36"/>
  <c r="I815" i="36"/>
  <c r="I816" i="36"/>
  <c r="I817" i="36"/>
  <c r="I818" i="36"/>
  <c r="I819" i="36"/>
  <c r="I820" i="36"/>
  <c r="I821" i="36"/>
  <c r="I822" i="36"/>
  <c r="I823" i="36"/>
  <c r="I824" i="36"/>
  <c r="I825" i="36"/>
  <c r="I826" i="36"/>
  <c r="I827" i="36"/>
  <c r="I828" i="36"/>
  <c r="I829" i="36"/>
  <c r="I830" i="36"/>
  <c r="I831" i="36"/>
  <c r="I832" i="36"/>
  <c r="I833" i="36"/>
  <c r="I834" i="36"/>
  <c r="I835" i="36"/>
  <c r="I836" i="36"/>
  <c r="I837" i="36"/>
  <c r="I838" i="36"/>
  <c r="I839" i="36"/>
  <c r="I840" i="36"/>
  <c r="I841" i="36"/>
  <c r="I842" i="36"/>
  <c r="I843" i="36"/>
  <c r="I844" i="36"/>
  <c r="I845" i="36"/>
  <c r="I846" i="36"/>
  <c r="I847" i="36"/>
  <c r="I848" i="36"/>
  <c r="I849" i="36"/>
  <c r="I850" i="36"/>
  <c r="I851" i="36"/>
  <c r="I852" i="36"/>
  <c r="I853" i="36"/>
  <c r="I854" i="36"/>
  <c r="I855" i="36"/>
  <c r="I856" i="36"/>
  <c r="I857" i="36"/>
  <c r="I858" i="36"/>
  <c r="I859" i="36"/>
  <c r="I860" i="36"/>
  <c r="I861" i="36"/>
  <c r="I862" i="36"/>
  <c r="I863" i="36"/>
  <c r="I864" i="36"/>
  <c r="I865" i="36"/>
  <c r="I866" i="36"/>
  <c r="I867" i="36"/>
  <c r="I868" i="36"/>
  <c r="I869" i="36"/>
  <c r="I870" i="36"/>
  <c r="I871" i="36"/>
  <c r="I872" i="36"/>
  <c r="I873" i="36"/>
  <c r="I874" i="36"/>
  <c r="I875" i="36"/>
  <c r="I876" i="36"/>
  <c r="I877" i="36"/>
  <c r="I878" i="36"/>
  <c r="I879" i="36"/>
  <c r="I880" i="36"/>
  <c r="I881" i="36"/>
  <c r="O29" i="36"/>
  <c r="N4" i="36"/>
  <c r="O4" i="36"/>
  <c r="P4"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C50" authorId="0" shapeId="0" xr:uid="{0C81DCA2-30CB-4B77-BEA5-9C5F2275CD5E}">
      <text>
        <r>
          <rPr>
            <sz val="9"/>
            <color indexed="81"/>
            <rFont val="Tahoma"/>
            <family val="2"/>
          </rPr>
          <t>El stock debe ser mayor a cero</t>
        </r>
      </text>
    </comment>
    <comment ref="E50" authorId="0" shapeId="0" xr:uid="{AE618782-D1E7-4319-AD57-97DAF3A7E0E7}">
      <text>
        <r>
          <rPr>
            <sz val="9"/>
            <color indexed="81"/>
            <rFont val="Tahoma"/>
            <family val="2"/>
          </rPr>
          <t>La edad debe ser mayor o igual a 18</t>
        </r>
      </text>
    </comment>
    <comment ref="H50" authorId="0" shapeId="0" xr:uid="{CBD168DB-534E-4DE3-B0D7-9F28DD2522A8}">
      <text>
        <r>
          <rPr>
            <sz val="9"/>
            <color indexed="81"/>
            <rFont val="Tahoma"/>
            <family val="2"/>
          </rPr>
          <t>La antigüedad debe ser mayor o igual a 12 y el sueldo actual debe ser inferior a S/ 1,500</t>
        </r>
      </text>
    </comment>
    <comment ref="J50" authorId="0" shapeId="0" xr:uid="{4A77ECA3-87BC-4FE2-BA13-63794F01FC93}">
      <text>
        <r>
          <rPr>
            <sz val="9"/>
            <color indexed="81"/>
            <rFont val="Tahoma"/>
            <family val="2"/>
          </rPr>
          <t>La sucursal debe ser Lima, Callao o San Isidro</t>
        </r>
      </text>
    </comment>
    <comment ref="L50" authorId="0" shapeId="0" xr:uid="{923CCAB0-09A7-4EBE-B99C-52F7A5EFA0B9}">
      <text>
        <r>
          <rPr>
            <sz val="9"/>
            <color indexed="81"/>
            <rFont val="Tahoma"/>
            <family val="2"/>
          </rPr>
          <t>Los códigos no deben repetirse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F4D2BF-E2DA-4ADB-AF3E-145B94C4896D}"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013DBB5-4E3A-488E-AAE3-F2002F9C3C51}" name="WorksheetConnection_Clase 03 - Excel Profesional.xlsx!tbl_cuotas" type="102" refreshedVersion="8" minRefreshableVersion="5">
    <extLst>
      <ext xmlns:x15="http://schemas.microsoft.com/office/spreadsheetml/2010/11/main" uri="{DE250136-89BD-433C-8126-D09CA5730AF9}">
        <x15:connection id="tbl_cuotas">
          <x15:rangePr sourceName="_xlcn.WorksheetConnection_Clase03ExcelProfesional.xlsxtbl_cuotas1"/>
        </x15:connection>
      </ext>
    </extLst>
  </connection>
  <connection id="3" xr16:uid="{CF00A146-1736-48FB-BF4E-7D15B2631128}" name="WorksheetConnection_Clase 03 - Excel Profesional.xlsx!tbl_ejecutivo" type="102" refreshedVersion="8" minRefreshableVersion="5">
    <extLst>
      <ext xmlns:x15="http://schemas.microsoft.com/office/spreadsheetml/2010/11/main" uri="{DE250136-89BD-433C-8126-D09CA5730AF9}">
        <x15:connection id="tbl_ejecutivo">
          <x15:rangePr sourceName="_xlcn.WorksheetConnection_Clase03ExcelProfesional.xlsxtbl_ejecutivo1"/>
        </x15:connection>
      </ext>
    </extLst>
  </connection>
  <connection id="4" xr16:uid="{8EA4F550-AE61-4307-81C0-B938A7AED04B}" name="WorksheetConnection_Clase 03 - Excel Profesional.xlsx!tbl_periodo" type="102" refreshedVersion="8" minRefreshableVersion="5">
    <extLst>
      <ext xmlns:x15="http://schemas.microsoft.com/office/spreadsheetml/2010/11/main" uri="{DE250136-89BD-433C-8126-D09CA5730AF9}">
        <x15:connection id="tbl_periodo">
          <x15:rangePr sourceName="_xlcn.WorksheetConnection_Clase03ExcelProfesional.xlsxtbl_periodo1"/>
        </x15:connection>
      </ext>
    </extLst>
  </connection>
  <connection id="5" xr16:uid="{72357F45-1593-4FC1-A294-7698D8AA7712}" name="WorksheetConnection_Clase 03 - Excel Profesional.xlsx!tbl_producto" type="102" refreshedVersion="8" minRefreshableVersion="5">
    <extLst>
      <ext xmlns:x15="http://schemas.microsoft.com/office/spreadsheetml/2010/11/main" uri="{DE250136-89BD-433C-8126-D09CA5730AF9}">
        <x15:connection id="tbl_producto">
          <x15:rangePr sourceName="_xlcn.WorksheetConnection_Clase03ExcelProfesional.xlsxtbl_producto1"/>
        </x15:connection>
      </ext>
    </extLst>
  </connection>
  <connection id="6" xr16:uid="{36309F73-F80E-4214-82D6-E24C25BE46AD}" name="WorksheetConnection_Clase 03 - Excel Profesional.xlsx!tbl_ventas" type="102" refreshedVersion="8" minRefreshableVersion="5">
    <extLst>
      <ext xmlns:x15="http://schemas.microsoft.com/office/spreadsheetml/2010/11/main" uri="{DE250136-89BD-433C-8126-D09CA5730AF9}">
        <x15:connection id="tbl_ventas">
          <x15:rangePr sourceName="_xlcn.WorksheetConnection_Clase03ExcelProfesional.xlsxtbl_ventas1"/>
        </x15:connection>
      </ext>
    </extLst>
  </connection>
</connections>
</file>

<file path=xl/sharedStrings.xml><?xml version="1.0" encoding="utf-8"?>
<sst xmlns="http://schemas.openxmlformats.org/spreadsheetml/2006/main" count="7608" uniqueCount="536">
  <si>
    <t>Ing. Leandro Javier Teves</t>
  </si>
  <si>
    <t>msexcelforbusiness@gmail.com</t>
  </si>
  <si>
    <t>Correo:</t>
  </si>
  <si>
    <t>Youtube:</t>
  </si>
  <si>
    <t>Docente:</t>
  </si>
  <si>
    <t>CANALES YOUTUBE RECOMENDADOS:</t>
  </si>
  <si>
    <t>https://www.youtube.com/@elingefrancisco</t>
  </si>
  <si>
    <t>https://www.youtube.com/@SMARTproAcademy</t>
  </si>
  <si>
    <t>https://www.youtube.com/@ExcelHechoFacil</t>
  </si>
  <si>
    <t>https://www.youtube.com/@ElTioTech</t>
  </si>
  <si>
    <t>https://www.youtube.com/@SergioAlejandroCampos</t>
  </si>
  <si>
    <t>SESIÓN 4:</t>
  </si>
  <si>
    <t>- Validación de Datos</t>
  </si>
  <si>
    <t>Se deberá validar las celdas, de la siguiente manera:</t>
  </si>
  <si>
    <t>La tercera columna (Dominio) deberá aceptar un minimo de 4 caracteres y 64 como maximo</t>
  </si>
  <si>
    <t>Ademas en cada validacion se debera colocar un "mensaje de entrada" y un "mensaje de error" para que el usuario sepa sobre el error que esta cometiendo</t>
  </si>
  <si>
    <t>Codigo</t>
  </si>
  <si>
    <t>Paquete</t>
  </si>
  <si>
    <t>Corporativo</t>
  </si>
  <si>
    <t>Empresarial</t>
  </si>
  <si>
    <t>PYME</t>
  </si>
  <si>
    <t>Personal</t>
  </si>
  <si>
    <t>Fecha</t>
  </si>
  <si>
    <t>Paquete Adquirido</t>
  </si>
  <si>
    <t>Dominio</t>
  </si>
  <si>
    <t>REGISTRO DE NOTAS</t>
  </si>
  <si>
    <t>Validar las celdas de las notas, para que solo acepten numeros enteros entre 08 y 20</t>
  </si>
  <si>
    <t>Cursos</t>
  </si>
  <si>
    <t>Outlook e Internet</t>
  </si>
  <si>
    <t>Adobe Acrobat</t>
  </si>
  <si>
    <t>Word 2019</t>
  </si>
  <si>
    <t>Excel 2019</t>
  </si>
  <si>
    <t>Marketing Digital</t>
  </si>
  <si>
    <t>Huaman Elizabeth</t>
  </si>
  <si>
    <t>Duarte Kristin</t>
  </si>
  <si>
    <t>Rodriguez Mario</t>
  </si>
  <si>
    <t>Carranza John</t>
  </si>
  <si>
    <t>Mendoza Havel</t>
  </si>
  <si>
    <t>Torres Janet</t>
  </si>
  <si>
    <t>Mendoza Karina</t>
  </si>
  <si>
    <t>Villa Jazmina</t>
  </si>
  <si>
    <t>Perez Rodolfo</t>
  </si>
  <si>
    <t>Zuñiga Camila</t>
  </si>
  <si>
    <t>Tarazona Jessica</t>
  </si>
  <si>
    <t>Códigos únicos</t>
  </si>
  <si>
    <t>Producto</t>
  </si>
  <si>
    <t>Stock</t>
  </si>
  <si>
    <t>Ventas</t>
  </si>
  <si>
    <t>Edad</t>
  </si>
  <si>
    <t>Antigüedad</t>
  </si>
  <si>
    <t>Sueldo actual</t>
  </si>
  <si>
    <t>Sucursal</t>
  </si>
  <si>
    <t>Prod 1</t>
  </si>
  <si>
    <t>Lima</t>
  </si>
  <si>
    <t>Prod 2</t>
  </si>
  <si>
    <t>Callao</t>
  </si>
  <si>
    <t>Prod 3</t>
  </si>
  <si>
    <t>Prod 4</t>
  </si>
  <si>
    <t>Prod 5</t>
  </si>
  <si>
    <t>Barrios Altos</t>
  </si>
  <si>
    <t>Prod 6</t>
  </si>
  <si>
    <t>Jesus Maria</t>
  </si>
  <si>
    <t>Prod 7</t>
  </si>
  <si>
    <t>Prod 8</t>
  </si>
  <si>
    <t>Prod 9</t>
  </si>
  <si>
    <t>Prod 10</t>
  </si>
  <si>
    <t>Prod 11</t>
  </si>
  <si>
    <t>San Isidro</t>
  </si>
  <si>
    <t>La Victoria</t>
  </si>
  <si>
    <t>Colombia</t>
  </si>
  <si>
    <t>Perú</t>
  </si>
  <si>
    <t>Uruguay</t>
  </si>
  <si>
    <t>Listas Desplegables</t>
  </si>
  <si>
    <t>Amazonas</t>
  </si>
  <si>
    <t>Artigas</t>
  </si>
  <si>
    <t>País</t>
  </si>
  <si>
    <t>Antioquia</t>
  </si>
  <si>
    <t>Áncash</t>
  </si>
  <si>
    <t>Canelones</t>
  </si>
  <si>
    <t>Departamento o Provincia</t>
  </si>
  <si>
    <t>Arauca</t>
  </si>
  <si>
    <t>Apurímac</t>
  </si>
  <si>
    <t>Cerro Largo</t>
  </si>
  <si>
    <t>Atlántico</t>
  </si>
  <si>
    <t>Arequipa</t>
  </si>
  <si>
    <t>Colonia</t>
  </si>
  <si>
    <t>Bogotá</t>
  </si>
  <si>
    <t>Ayacucho</t>
  </si>
  <si>
    <t>Durazno</t>
  </si>
  <si>
    <t>Bolívar</t>
  </si>
  <si>
    <t>Cajamarca</t>
  </si>
  <si>
    <t>Flores</t>
  </si>
  <si>
    <t>Boyacá</t>
  </si>
  <si>
    <t>Callao​</t>
  </si>
  <si>
    <t>Florida</t>
  </si>
  <si>
    <t>Caldas</t>
  </si>
  <si>
    <t>Cusco</t>
  </si>
  <si>
    <t>Lavalleja</t>
  </si>
  <si>
    <t>Caquetá</t>
  </si>
  <si>
    <t>Huancavelica</t>
  </si>
  <si>
    <t>Maldonado</t>
  </si>
  <si>
    <t>Casanare</t>
  </si>
  <si>
    <t>Huánuco</t>
  </si>
  <si>
    <t>Montevideo</t>
  </si>
  <si>
    <t>Cauca</t>
  </si>
  <si>
    <t>Ica</t>
  </si>
  <si>
    <t>Paysandú</t>
  </si>
  <si>
    <t>Cesar</t>
  </si>
  <si>
    <t>Junín</t>
  </si>
  <si>
    <t>Río Negro</t>
  </si>
  <si>
    <t>Chocó</t>
  </si>
  <si>
    <t>La Libertad</t>
  </si>
  <si>
    <t>Rivera</t>
  </si>
  <si>
    <t>Córdoba</t>
  </si>
  <si>
    <t>Lambayeque</t>
  </si>
  <si>
    <t>Rocha</t>
  </si>
  <si>
    <t>Cundinamarca</t>
  </si>
  <si>
    <t>Salto</t>
  </si>
  <si>
    <t>Guainía</t>
  </si>
  <si>
    <t>Loreto</t>
  </si>
  <si>
    <t>San José</t>
  </si>
  <si>
    <t>Guaviare</t>
  </si>
  <si>
    <t>Madre de Dios</t>
  </si>
  <si>
    <t>Soriano</t>
  </si>
  <si>
    <t>Huila</t>
  </si>
  <si>
    <t>Moquegua</t>
  </si>
  <si>
    <t>Tacuarembó</t>
  </si>
  <si>
    <t>La Guajira</t>
  </si>
  <si>
    <t>Pasco</t>
  </si>
  <si>
    <t>Treinta y Tres</t>
  </si>
  <si>
    <t>Magdalena</t>
  </si>
  <si>
    <t>Piura</t>
  </si>
  <si>
    <t>Meta</t>
  </si>
  <si>
    <t>Puno</t>
  </si>
  <si>
    <t>Nariño</t>
  </si>
  <si>
    <t>San Martín</t>
  </si>
  <si>
    <t>Norte de Santander</t>
  </si>
  <si>
    <t>Tacna</t>
  </si>
  <si>
    <t>Putumayo</t>
  </si>
  <si>
    <t>Tumbes</t>
  </si>
  <si>
    <t>Quindío</t>
  </si>
  <si>
    <t>Ucayali</t>
  </si>
  <si>
    <t>Risaralda</t>
  </si>
  <si>
    <t>San Andrés y Providencia</t>
  </si>
  <si>
    <t>Santander</t>
  </si>
  <si>
    <t>Sucre</t>
  </si>
  <si>
    <t>Tolima</t>
  </si>
  <si>
    <t>Valle del Cauca</t>
  </si>
  <si>
    <t>Vaupés</t>
  </si>
  <si>
    <t>Vichada</t>
  </si>
  <si>
    <t>EJEMPLOS ADICIONALES 1</t>
  </si>
  <si>
    <t>EJEMPLOS ADICIONALES 2</t>
  </si>
  <si>
    <t>Función Indirecto: "Devuelve una referencia especificada" por un valor de texto</t>
  </si>
  <si>
    <t>Cliente</t>
  </si>
  <si>
    <t>Linea de negocio</t>
  </si>
  <si>
    <t>Tipo Cliente</t>
  </si>
  <si>
    <t>Estado</t>
  </si>
  <si>
    <t>Beneficio</t>
  </si>
  <si>
    <t>Mes</t>
  </si>
  <si>
    <t>Año</t>
  </si>
  <si>
    <t>Cliente 1</t>
  </si>
  <si>
    <t>Formación</t>
  </si>
  <si>
    <t>Retenido</t>
  </si>
  <si>
    <t>Cobrada</t>
  </si>
  <si>
    <t>Cliente 2</t>
  </si>
  <si>
    <t>Servicio</t>
  </si>
  <si>
    <t>Nuevo</t>
  </si>
  <si>
    <t>Cliente 3</t>
  </si>
  <si>
    <t>InfoProducto</t>
  </si>
  <si>
    <t>Pendiente</t>
  </si>
  <si>
    <t>Cliente 4</t>
  </si>
  <si>
    <t>Cliente 5</t>
  </si>
  <si>
    <t>Cliente 6</t>
  </si>
  <si>
    <t>Cliente 7</t>
  </si>
  <si>
    <t>Cliente 8</t>
  </si>
  <si>
    <t>Cliente 9</t>
  </si>
  <si>
    <t>Cliente 10</t>
  </si>
  <si>
    <t>Cliente 11</t>
  </si>
  <si>
    <t>Cliente 12</t>
  </si>
  <si>
    <t>Cliente 13</t>
  </si>
  <si>
    <t>Cliente 14</t>
  </si>
  <si>
    <t>Cliente 15</t>
  </si>
  <si>
    <t>Cliente 16</t>
  </si>
  <si>
    <t>Cliente 17</t>
  </si>
  <si>
    <t>Cliente 18</t>
  </si>
  <si>
    <t>Cliente 19</t>
  </si>
  <si>
    <t>Cliente 20</t>
  </si>
  <si>
    <t>Cliente 21</t>
  </si>
  <si>
    <t>Cliente 22</t>
  </si>
  <si>
    <t>Cliente 23</t>
  </si>
  <si>
    <t>Cliente 24</t>
  </si>
  <si>
    <t>Cliente 25</t>
  </si>
  <si>
    <t>Cliente 26</t>
  </si>
  <si>
    <t>Cliente 27</t>
  </si>
  <si>
    <t>Cliente 28</t>
  </si>
  <si>
    <t>Cliente 29</t>
  </si>
  <si>
    <t>Cliente 30</t>
  </si>
  <si>
    <t>Cliente 31</t>
  </si>
  <si>
    <t>Cliente 32</t>
  </si>
  <si>
    <t>Cliente 33</t>
  </si>
  <si>
    <t>Cliente 34</t>
  </si>
  <si>
    <t>Cliente 35</t>
  </si>
  <si>
    <t>Cliente 36</t>
  </si>
  <si>
    <t>Cliente 37</t>
  </si>
  <si>
    <t>Cliente 38</t>
  </si>
  <si>
    <t>Cliente 39</t>
  </si>
  <si>
    <t>Cliente 40</t>
  </si>
  <si>
    <t>Cliente 41</t>
  </si>
  <si>
    <t>Cliente 42</t>
  </si>
  <si>
    <t>Cliente 43</t>
  </si>
  <si>
    <t>Cliente 44</t>
  </si>
  <si>
    <t>Cliente 45</t>
  </si>
  <si>
    <t>Cliente 46</t>
  </si>
  <si>
    <t>Cliente 47</t>
  </si>
  <si>
    <t>Cliente 48</t>
  </si>
  <si>
    <t>Cliente 49</t>
  </si>
  <si>
    <t>Cliente 50</t>
  </si>
  <si>
    <t>Cliente 51</t>
  </si>
  <si>
    <t>DATA</t>
  </si>
  <si>
    <t>Etiquetas de fila</t>
  </si>
  <si>
    <t>Total general</t>
  </si>
  <si>
    <t>Suma de Ventas</t>
  </si>
  <si>
    <t>Suma de Beneficio</t>
  </si>
  <si>
    <t>IDCLIENTE</t>
  </si>
  <si>
    <t>NOMBRECLIENTE</t>
  </si>
  <si>
    <t>RUC</t>
  </si>
  <si>
    <t>DIRECCION</t>
  </si>
  <si>
    <t>DISTRITO</t>
  </si>
  <si>
    <t>TELEFONO</t>
  </si>
  <si>
    <t>Alva Tello, Hector</t>
  </si>
  <si>
    <t>09686233225</t>
  </si>
  <si>
    <t>Av. Salaverry 5750</t>
  </si>
  <si>
    <t>San Luis</t>
  </si>
  <si>
    <t>4562345</t>
  </si>
  <si>
    <t>Burga Campos, Richard Elio</t>
  </si>
  <si>
    <t>08457982563</t>
  </si>
  <si>
    <t>Av. Javier Prado 2030</t>
  </si>
  <si>
    <t>Lince</t>
  </si>
  <si>
    <t>5437654</t>
  </si>
  <si>
    <t>Quiroz Terrones, Carmen Lucía</t>
  </si>
  <si>
    <t>09745789454</t>
  </si>
  <si>
    <t>Av. Univesitaria 6350</t>
  </si>
  <si>
    <t>Comas</t>
  </si>
  <si>
    <t>4367254</t>
  </si>
  <si>
    <t>Chavez Arena, Roberto Juan</t>
  </si>
  <si>
    <t>15687895642</t>
  </si>
  <si>
    <t>Av. Angamos 1600</t>
  </si>
  <si>
    <t>Miraflores</t>
  </si>
  <si>
    <t>8626676</t>
  </si>
  <si>
    <t>Cordova Anselmi, Elizabeth</t>
  </si>
  <si>
    <t>45585986535</t>
  </si>
  <si>
    <t>Calle Los Yungas 780</t>
  </si>
  <si>
    <t>San Miguel</t>
  </si>
  <si>
    <t>4567389</t>
  </si>
  <si>
    <t>Flores Gutierrez, Ana María</t>
  </si>
  <si>
    <t>45865236985</t>
  </si>
  <si>
    <t>Prolg. La Mar 460</t>
  </si>
  <si>
    <t>5789468</t>
  </si>
  <si>
    <t>Gonzales Hinostroza, Aldo</t>
  </si>
  <si>
    <t>45824595357</t>
  </si>
  <si>
    <t>Av. Del Ejercito 870</t>
  </si>
  <si>
    <t>4767288</t>
  </si>
  <si>
    <t>Hidalgo Aldave, German</t>
  </si>
  <si>
    <t>12345685795</t>
  </si>
  <si>
    <t>Jr. Las Peras 340</t>
  </si>
  <si>
    <t>Los Olivos</t>
  </si>
  <si>
    <t>9348749</t>
  </si>
  <si>
    <t>Leon Ascencios, Trinidad Flor</t>
  </si>
  <si>
    <t>45289563258</t>
  </si>
  <si>
    <t>Calle el Galeón 570</t>
  </si>
  <si>
    <t>Surco</t>
  </si>
  <si>
    <t>4673858</t>
  </si>
  <si>
    <t>Martinez Vera, Laura Mercedes</t>
  </si>
  <si>
    <t>14789542358</t>
  </si>
  <si>
    <t>Av. Emancipación 1580</t>
  </si>
  <si>
    <t>Cercado</t>
  </si>
  <si>
    <t>9457860</t>
  </si>
  <si>
    <t>Mejía Carranza, Alberto</t>
  </si>
  <si>
    <t>15478542686</t>
  </si>
  <si>
    <t>Av. Los Proceres 370</t>
  </si>
  <si>
    <t>Rimac</t>
  </si>
  <si>
    <t>3450564</t>
  </si>
  <si>
    <t>Rodríguez Carcamo, Ursula</t>
  </si>
  <si>
    <t>15874523698</t>
  </si>
  <si>
    <t>Av. Belen 560</t>
  </si>
  <si>
    <t>5743658</t>
  </si>
  <si>
    <t>Sanchez Quispe, Luis Gustavo</t>
  </si>
  <si>
    <t>45824569853</t>
  </si>
  <si>
    <t>Calle Los Jazmines 870</t>
  </si>
  <si>
    <t>8688567</t>
  </si>
  <si>
    <t>Torres Poma, Miguel Angel</t>
  </si>
  <si>
    <t>01236582546</t>
  </si>
  <si>
    <t>Jr. Los Geranios 570</t>
  </si>
  <si>
    <t>9485856</t>
  </si>
  <si>
    <t>Zavaleta Huertas, Carla</t>
  </si>
  <si>
    <t>07894521358</t>
  </si>
  <si>
    <t>Av. Honduras 560</t>
  </si>
  <si>
    <t>4585783</t>
  </si>
  <si>
    <t>Godoy Muñoz, Alfonso</t>
  </si>
  <si>
    <t>04875986235</t>
  </si>
  <si>
    <t>Calle Los Nogales 320</t>
  </si>
  <si>
    <t>La Molina</t>
  </si>
  <si>
    <t>3780064</t>
  </si>
  <si>
    <t>Medina Delgado, Juan Jose</t>
  </si>
  <si>
    <t>07895426534</t>
  </si>
  <si>
    <t>Av. Velasco Astete 250</t>
  </si>
  <si>
    <t>San Borja</t>
  </si>
  <si>
    <t>5874329</t>
  </si>
  <si>
    <t>Casaverde Rios, Guillermo</t>
  </si>
  <si>
    <t>05486325987</t>
  </si>
  <si>
    <t>Av. Arica 1240</t>
  </si>
  <si>
    <t>Breña</t>
  </si>
  <si>
    <t>7944385</t>
  </si>
  <si>
    <t>Valencia Carmona, Felipe</t>
  </si>
  <si>
    <t>04589657854</t>
  </si>
  <si>
    <t>Calle Los Capulies 170</t>
  </si>
  <si>
    <t>5184965</t>
  </si>
  <si>
    <t>Mendez Cabrera, Liliana</t>
  </si>
  <si>
    <t>01356265325</t>
  </si>
  <si>
    <t>Av. Tacna 1810</t>
  </si>
  <si>
    <t>4095840</t>
  </si>
  <si>
    <t>ORDEN</t>
  </si>
  <si>
    <t>IDPRODUCTO</t>
  </si>
  <si>
    <t>DESCRIPCION</t>
  </si>
  <si>
    <t>Televisor Sony 14"</t>
  </si>
  <si>
    <t>Televisor Samsumg 14"</t>
  </si>
  <si>
    <t>Televisor Panasonic 14"</t>
  </si>
  <si>
    <t>Televisor Sony 21"</t>
  </si>
  <si>
    <t>Televisor Samsumg 21"</t>
  </si>
  <si>
    <t>Televisor Panasonic 21"</t>
  </si>
  <si>
    <t>Equipo Estereo Sony</t>
  </si>
  <si>
    <t>Equipo Estereo Panasonic</t>
  </si>
  <si>
    <t>Equipo Estereo Aiwa</t>
  </si>
  <si>
    <t>Equipo Estereo Pionner</t>
  </si>
  <si>
    <t>Radiograbadora Sony</t>
  </si>
  <si>
    <t>Radiograbadora Panasonic</t>
  </si>
  <si>
    <t>Videograbadora Sony</t>
  </si>
  <si>
    <t>Videograbadora Samsumg</t>
  </si>
  <si>
    <t>Videograbadora Panasonic</t>
  </si>
  <si>
    <t>Impresora Canon</t>
  </si>
  <si>
    <t>Impresora Epson</t>
  </si>
  <si>
    <t>Impresora Hewlett Packard</t>
  </si>
  <si>
    <t>Computadora IBM</t>
  </si>
  <si>
    <t>Computadora Compact</t>
  </si>
  <si>
    <t>Computadora Accer</t>
  </si>
  <si>
    <t>Refrigeradora Coldex</t>
  </si>
  <si>
    <t>Refrigeradora Mabe</t>
  </si>
  <si>
    <t>Lavadora Samsumg</t>
  </si>
  <si>
    <t>Lavadora Faeda</t>
  </si>
  <si>
    <t>CUADRO COMBINADO</t>
  </si>
  <si>
    <t>Permite listar una serie de opciones o alternativas cuando las posibilidades de opcion son muchas</t>
  </si>
  <si>
    <t>Artefactos</t>
  </si>
  <si>
    <t>MESES</t>
  </si>
  <si>
    <t>Celda vinculada muestra el numero de orden de la opcion escogida</t>
  </si>
  <si>
    <t>Meses</t>
  </si>
  <si>
    <t>Clientes</t>
  </si>
  <si>
    <t>CUADRO DE GRUPO Y BOTONES DE OPCION</t>
  </si>
  <si>
    <t>Se utilizara cuando el conjunto de opciones o alternativas son algunas pocas posibilidades</t>
  </si>
  <si>
    <t>PRECIOUNIDAD $</t>
  </si>
  <si>
    <t>Para que no parpadee excel</t>
  </si>
  <si>
    <t>Application.ScreenUpdating = False</t>
  </si>
  <si>
    <t>Application.ScreenUpdating = True</t>
  </si>
  <si>
    <t>Al inicio</t>
  </si>
  <si>
    <t>Al final</t>
  </si>
  <si>
    <t>Para que sirve?</t>
  </si>
  <si>
    <t>Range("B4").Select</t>
  </si>
  <si>
    <t>No permite ubicarnos en una celda de la hoja activa</t>
  </si>
  <si>
    <t>Hoja1.Select</t>
  </si>
  <si>
    <t>Nos  permite ubicarnos en una hoja</t>
  </si>
  <si>
    <t>Selection.Copy</t>
  </si>
  <si>
    <t>Nos permite copiar la selección actual de la hoja que me encuentro</t>
  </si>
  <si>
    <t>Selection.End(xlDown).Offset(1, 0).Select</t>
  </si>
  <si>
    <t>Selection.End(xlDown)</t>
  </si>
  <si>
    <t>Nos permite desplazarnos hasta la ultima celda (mismo efecto que ctrl+flecha abajo)</t>
  </si>
  <si>
    <t>Range("B9:H9").ClearContents</t>
  </si>
  <si>
    <t>Nos permite limpiar un rango (mismo efecto que suprimir)</t>
  </si>
  <si>
    <t>Selection.PasteSpecial Paste:=xlPasteValues</t>
  </si>
  <si>
    <t>Nos permite pegar como valor el rango que tenemos copiado</t>
  </si>
  <si>
    <t>MsgBox "REGISTRO EXITOSO"</t>
  </si>
  <si>
    <t>Para que nos arroje un mensaje "REGISTRO EXITOSO" como ventana</t>
  </si>
  <si>
    <t>Nos permite desplazarnos hasta la ultima celda con un valor continuado +1 columna</t>
  </si>
  <si>
    <t>Nos permite desplazarnos hasta la ultima celda con un valor continuado +1 fila</t>
  </si>
  <si>
    <t>Selection.End(xlDown).Offset(0, 1).Select</t>
  </si>
  <si>
    <t>ThisWorkbook.RefreshAll</t>
  </si>
  <si>
    <t>Actualizar tablas del libro</t>
  </si>
  <si>
    <t>ComboBox1.AddItem "SUCURSAL 1"</t>
  </si>
  <si>
    <t>Nos permite agregar valores a un combobox (En este caso "Sucursal ")</t>
  </si>
  <si>
    <t>TextBox5 = "TRASPASO"</t>
  </si>
  <si>
    <t>Aquí le damos un valor predeterminado a un combo box</t>
  </si>
  <si>
    <t>Application.WorksheetFunction.VLookup(ComboBox1.Value, Hoja4.Range("Tabla3"), 2, 0)</t>
  </si>
  <si>
    <t>Aquí nos sirve para hacer un buscarv como codigo (En este caso digo que me busque el valor que sale en el combobox1, luego qu lo busque en la tabla3 de la hoja 4, luego que me devuelva el valor de la segunda columna haciendo una busqueda exacta</t>
  </si>
  <si>
    <t>TextBox1 = ""</t>
  </si>
  <si>
    <t>Sirve para asignar un valor vacio a un textbox</t>
  </si>
  <si>
    <t>Worksheets("RESUMEN").PivotTables("TablaDinámica1").PivotCache.Refresh</t>
  </si>
  <si>
    <t>Nos sirve para actualizar tablas dinamicas de manera independiente, primero se especifica el nombre de la hoja (En este caso "Resumen"), luego colocar el nombre de la tabla dinamica en esa hoja. Este codigo debe estar en la hoja donde van a ver los cambios, en la hoja donde estan los datos con formato  de tabla. Esto tiene que estar creado con el evento Change.</t>
  </si>
  <si>
    <t>https://www.youtube.com/@excelymasoficial</t>
  </si>
  <si>
    <t>La segunda columna (Paquete adquirido) debera mostrar una lista despegable donde el usuario pueda elegir (Rango C12:C15)</t>
  </si>
  <si>
    <t>CONTROLES DE FORMULARIO</t>
  </si>
  <si>
    <t>https://www.youtube.com/@aprendiendoconleandro</t>
  </si>
  <si>
    <t>Nro. Semana</t>
  </si>
  <si>
    <t>https://www.youtube.com/@METN</t>
  </si>
  <si>
    <t>FUNCIONES FINANCIERAS</t>
  </si>
  <si>
    <t xml:space="preserve"> Se invierten S/500,000 a una tasa de 3% anual durante un plazo de 5 años, se requiere conocer el monto que se obtendrá por la inversión</t>
  </si>
  <si>
    <t>Capital (VA)</t>
  </si>
  <si>
    <t>VF</t>
  </si>
  <si>
    <t>VA</t>
  </si>
  <si>
    <t>Tasa</t>
  </si>
  <si>
    <t>Periodos (Nper)</t>
  </si>
  <si>
    <t>Capital Final (VF)</t>
  </si>
  <si>
    <t>Una persona deposita en una entidad bancaria S/5,000 y le aseguran que le retornaran S/6,000, si mantiene el depósito durante 4 años ¿La persona quiere conocer la tasa de interés que resultará del depósito?</t>
  </si>
  <si>
    <t>Se requiere conocer el tiempo que ha de mantenerse el depósito de un capital de S/14,000, para obtener un monto de S/17,000 a una tasa de 8% anual.</t>
  </si>
  <si>
    <t>TASA</t>
  </si>
  <si>
    <t>NPER</t>
  </si>
  <si>
    <t>CUADRO DE AMORTIZACIÓN</t>
  </si>
  <si>
    <t>Un empresario textil decide solitar un préstamo de S/250,000.00 a un banco local a una duración de 60 meses, con una tasa anual de 25.5%. Completar las siguientes tablas:</t>
  </si>
  <si>
    <t>Anual</t>
  </si>
  <si>
    <t>Mensual</t>
  </si>
  <si>
    <t>PRINCIPAL</t>
  </si>
  <si>
    <t>DURACIÓN</t>
  </si>
  <si>
    <t>TASA ANUAL</t>
  </si>
  <si>
    <t>Completar:</t>
  </si>
  <si>
    <t>Cuota Mensual</t>
  </si>
  <si>
    <t>Duración en meses</t>
  </si>
  <si>
    <t>Préstamo Principal</t>
  </si>
  <si>
    <t>MES</t>
  </si>
  <si>
    <t>CUOTA</t>
  </si>
  <si>
    <t>AMORTIZACIÓN</t>
  </si>
  <si>
    <t>INTERÉS</t>
  </si>
  <si>
    <t>SALDO</t>
  </si>
  <si>
    <t>- Funciones de Fecha</t>
  </si>
  <si>
    <t>- Conceptos generales sobre Macros</t>
  </si>
  <si>
    <t>- Creación de Dashboard</t>
  </si>
  <si>
    <t>- Funciones Financieras</t>
  </si>
  <si>
    <t>FUNCIÓN: SIFECHA(FECHA_INICIAL,FECHA_FINAL,UNIDAD)</t>
  </si>
  <si>
    <t>FECHA</t>
  </si>
  <si>
    <t>HOY</t>
  </si>
  <si>
    <t>AÑOS</t>
  </si>
  <si>
    <t>DIAS</t>
  </si>
  <si>
    <t>UNIDAD:</t>
  </si>
  <si>
    <t>"Y": El número de años completos en el período.</t>
  </si>
  <si>
    <t>"M": El número de meses completos en el período.</t>
  </si>
  <si>
    <t>"D": El número de días en el período.</t>
  </si>
  <si>
    <t>"YM": La diferencia entre los meses de fecha_inicial y fecha_final. Los días y años de las fechas se pasan por alto.</t>
  </si>
  <si>
    <t>Otras funciones de fecha y hora</t>
  </si>
  <si>
    <t>Ejm:</t>
  </si>
  <si>
    <t>Fecha Inicial:</t>
  </si>
  <si>
    <t>Festivo</t>
  </si>
  <si>
    <t>Dias:</t>
  </si>
  <si>
    <t>Fecha final:</t>
  </si>
  <si>
    <t>Año:</t>
  </si>
  <si>
    <t>Mes:</t>
  </si>
  <si>
    <t>Dia:</t>
  </si>
  <si>
    <t>Fecha:</t>
  </si>
  <si>
    <t>N° Meses:</t>
  </si>
  <si>
    <t>Fecha.mes:</t>
  </si>
  <si>
    <t>Hora:</t>
  </si>
  <si>
    <t>Minuto:</t>
  </si>
  <si>
    <t>Segundo:</t>
  </si>
  <si>
    <t>Hora completa:</t>
  </si>
  <si>
    <t>FUNCIONES DE FECHA</t>
  </si>
  <si>
    <t>Link:</t>
  </si>
  <si>
    <t>https://docs.google.com/spreadsheets/d/e/2PACX-1vQOcO7w6D7stwb3bTPT9QDCTmFqs_B8krt2tishyB0Y-_lcGxpi83nS_i9vrrP8NC2odAbbB4h1j8S1/pub?output=xlsx</t>
  </si>
  <si>
    <t>CONECTAR HOJA DE RESPUESTAS DE FORMULARIO DE GOOGLE</t>
  </si>
  <si>
    <t>- Conectar respuestas  de formulario de google</t>
  </si>
  <si>
    <t>- Función DESREF</t>
  </si>
  <si>
    <t>Función DESREF</t>
  </si>
  <si>
    <t>+1</t>
  </si>
  <si>
    <t>-1</t>
  </si>
  <si>
    <t xml:space="preserve">Devuelve una referencia a un rango que es un número de filas y de columnas de una celda o rango de celdas. </t>
  </si>
  <si>
    <t>La referencia devuelta puede ser una celda o un rango de celdas. Puede especificar el número de filas y el número de columnas a devolver.</t>
  </si>
  <si>
    <r>
      <rPr>
        <b/>
        <sz val="10"/>
        <color theme="1"/>
        <rFont val="Calibri"/>
        <family val="2"/>
        <scheme val="minor"/>
      </rPr>
      <t xml:space="preserve">SINTAXIS: </t>
    </r>
    <r>
      <rPr>
        <sz val="10"/>
        <color theme="1"/>
        <rFont val="Calibri"/>
        <family val="2"/>
        <scheme val="minor"/>
      </rPr>
      <t>DESREF(ref, filas, columnas, [alto], [ancho])</t>
    </r>
  </si>
  <si>
    <t>EJM.1</t>
  </si>
  <si>
    <t>REF</t>
  </si>
  <si>
    <t>COLUMNA 1</t>
  </si>
  <si>
    <t>COLUMNA 2</t>
  </si>
  <si>
    <t>FILA 1</t>
  </si>
  <si>
    <t>P</t>
  </si>
  <si>
    <t>T</t>
  </si>
  <si>
    <t>R</t>
  </si>
  <si>
    <t>Y</t>
  </si>
  <si>
    <t>V</t>
  </si>
  <si>
    <t>FILA 2</t>
  </si>
  <si>
    <t>E</t>
  </si>
  <si>
    <t>G</t>
  </si>
  <si>
    <t>F</t>
  </si>
  <si>
    <t>H</t>
  </si>
  <si>
    <t>J</t>
  </si>
  <si>
    <t>D</t>
  </si>
  <si>
    <t>B</t>
  </si>
  <si>
    <t>A</t>
  </si>
  <si>
    <t>C</t>
  </si>
  <si>
    <t>O</t>
  </si>
  <si>
    <t>L</t>
  </si>
  <si>
    <t>K</t>
  </si>
  <si>
    <t>M</t>
  </si>
  <si>
    <t>I</t>
  </si>
  <si>
    <t>N</t>
  </si>
  <si>
    <t>ALTO 2</t>
  </si>
  <si>
    <t>ANCHO 2</t>
  </si>
  <si>
    <t>Q</t>
  </si>
  <si>
    <t>W</t>
  </si>
  <si>
    <t>S</t>
  </si>
  <si>
    <t>X</t>
  </si>
  <si>
    <t>U</t>
  </si>
  <si>
    <t>EJM.2</t>
  </si>
  <si>
    <t>VENDEDOR</t>
  </si>
  <si>
    <t>Vendedor  1</t>
  </si>
  <si>
    <t>Vendedor:</t>
  </si>
  <si>
    <t>Vendedor  3</t>
  </si>
  <si>
    <t>Vendedor  2</t>
  </si>
  <si>
    <t>Ventas Total:</t>
  </si>
  <si>
    <t>Vendedor  4</t>
  </si>
  <si>
    <t>Vendedor  5</t>
  </si>
  <si>
    <t>Vendedor  6</t>
  </si>
  <si>
    <t>VALIDACIÓN DE DATOS</t>
  </si>
  <si>
    <t>La primera columna (Fecha) debera aceptar fechas con el año 2023</t>
  </si>
  <si>
    <t>Alumnos</t>
  </si>
  <si>
    <t>Se requiere conocer el capital inicial que se desembolsó hace 3 años, habiendo acordado un interés anual de 6% y percibido un monto de S/8,000</t>
  </si>
  <si>
    <t>"MD": La diferencia entre los días en fecha_inicial y fecha_final. Los meses y años de las fechas se pasan por alto.</t>
  </si>
  <si>
    <t>{"hash":"644b271e9458d20d9c09116250c00d2a386679eb67a901d4937666640f514bce","version":1,"value":"[[\"Tres mil quinientos.\"]]"}</t>
  </si>
  <si>
    <t>{"hash":"b4a0d6664e40ad33217c359f78717c67f324992782d9f7b9311080bd5a8f4ad8","version":1,"value":"[[\"Trece mil novecientos noventa y nueve.\"]]"}</t>
  </si>
  <si>
    <t>{"hash":"6dc84db501f73e8509a2175aee8fc3353568756ef49248ab65369f8e3b78bab9","version":1,"value":"[[\"Doscientos ochenta y nueve mil setecientos cuarenta y uno.\"]]"}</t>
  </si>
  <si>
    <t>FUNCIÓN: HOY(), AHORA(), AÑO(), MES(), DIA(), TEXTO()</t>
  </si>
  <si>
    <t>Ir a la pestaña Datoas-&gt;Herramienta de datos-&gt; Validación de datos.</t>
  </si>
  <si>
    <t>Poner nombre a un rango de celdas: Ir a Fórmulas-&gt;Administrador de nombres.</t>
  </si>
  <si>
    <t>Macro-&gt; Proceso automatizado</t>
  </si>
  <si>
    <t>Función: FILTRAR(COLUMNA QUE QUEREMOS QUE NOS DEVUELVA, COLUMNA QUE VAMOS A EVALUAR BAJO LA CONDICION DE QUE LOS VALORES TIENEN QUE SER LO MISMO A LA CELDA A EVALUAR)</t>
  </si>
  <si>
    <t>Direfencias entre Excel y Power BI:</t>
  </si>
  <si>
    <t>Power Bi: Cuando se hace un reporte; se puede compartir colaborativamente a través de una web en nuestro espacio de trabajo o se puede insertar a un aplicativo para que lo puedan ver a traves del telefono el reporte.</t>
  </si>
  <si>
    <t>Excel: No se puede compartir por medio de la web o un aplicativo para ver el reporte por tema de incompatibilidad.</t>
  </si>
  <si>
    <t>AÑO</t>
  </si>
  <si>
    <t>NRO. SEMANA</t>
  </si>
  <si>
    <t>IR A DATOS-&gt; OBTENER DATOS-&gt;DE OTRAS FUENTES-&gt; DE LA WEB</t>
  </si>
  <si>
    <t>Para habilitarlo:</t>
  </si>
  <si>
    <t>Ir a ARCHIVO-&gt;OPCIONES-&gt;PERSONALIZAR CINTA DE OPCIONES-&gt;PROGRAMADOR O DESARROLLADOR</t>
  </si>
  <si>
    <t>IR A PROGRAMADOR-&gt;INSERTAR-&gt;CONTROLES DE FORMULARIOS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</si>
</sst>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quot;S/&quot;\ #,##0;\-&quot;S/&quot;\ #,##0"/>
    <numFmt numFmtId="165" formatCode="&quot;S/&quot;\ #,##0.00;[Red]\-&quot;S/&quot;\ #,##0.00"/>
    <numFmt numFmtId="166" formatCode="_-&quot;S/&quot;\ * #,##0.00_-;\-&quot;S/&quot;\ * #,##0.00_-;_-&quot;S/&quot;\ * &quot;-&quot;??_-;_-@_-"/>
    <numFmt numFmtId="167" formatCode="_ * #,##0.00_ ;_ * \-#,##0.00_ ;_ * &quot;-&quot;??_ ;_ @_ "/>
    <numFmt numFmtId="168" formatCode="_(* #,##0.00_);_(* \(#,##0.00\);_(* &quot;-&quot;??_);_(@_)"/>
    <numFmt numFmtId="169" formatCode="_-&quot;S/&quot;* #,##0.00_-;\-&quot;S/&quot;* #,##0.00_-;_-&quot;S/&quot;* &quot;-&quot;??_-;_-@_-"/>
    <numFmt numFmtId="170" formatCode="_-&quot;S/&quot;* #,##0_-;\-&quot;S/&quot;* #,##0_-;_-&quot;S/&quot;* &quot;-&quot;??_-;_-@_-"/>
    <numFmt numFmtId="171" formatCode="00"/>
    <numFmt numFmtId="172" formatCode="&quot;S/&quot;\ #,##0.00"/>
    <numFmt numFmtId="173" formatCode="&quot;S/&quot;#,##0.00;[Red]\-&quot;S/&quot;#,##0.00"/>
    <numFmt numFmtId="174" formatCode="&quot;S/&quot;#,##0.00"/>
    <numFmt numFmtId="175" formatCode="0.0%"/>
    <numFmt numFmtId="176" formatCode="d/mm/yyyy\ hh:mm:ss"/>
  </numFmts>
  <fonts count="48"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sz val="10"/>
      <name val="Arial"/>
      <family val="2"/>
    </font>
    <font>
      <b/>
      <sz val="14"/>
      <color theme="1"/>
      <name val="Calibri"/>
      <family val="2"/>
      <scheme val="minor"/>
    </font>
    <font>
      <u/>
      <sz val="11"/>
      <color theme="10"/>
      <name val="Calibri"/>
      <family val="2"/>
      <scheme val="minor"/>
    </font>
    <font>
      <b/>
      <sz val="14"/>
      <name val="Calibri"/>
      <family val="2"/>
      <scheme val="minor"/>
    </font>
    <font>
      <b/>
      <sz val="11"/>
      <color theme="0"/>
      <name val="Calibri"/>
      <family val="2"/>
      <scheme val="minor"/>
    </font>
    <font>
      <sz val="11"/>
      <color theme="0"/>
      <name val="Calibri"/>
      <family val="2"/>
      <scheme val="minor"/>
    </font>
    <font>
      <sz val="8"/>
      <name val="Calibri"/>
      <family val="2"/>
      <scheme val="minor"/>
    </font>
    <font>
      <b/>
      <sz val="8"/>
      <name val="Calibri"/>
      <family val="2"/>
      <scheme val="minor"/>
    </font>
    <font>
      <b/>
      <sz val="8"/>
      <color indexed="8"/>
      <name val="Calibri"/>
      <family val="2"/>
      <scheme val="minor"/>
    </font>
    <font>
      <sz val="8"/>
      <color indexed="8"/>
      <name val="Calibri"/>
      <family val="2"/>
      <scheme val="minor"/>
    </font>
    <font>
      <b/>
      <sz val="8"/>
      <color theme="0"/>
      <name val="Calibri"/>
      <family val="2"/>
      <scheme val="minor"/>
    </font>
    <font>
      <b/>
      <sz val="12"/>
      <name val="Calibri"/>
      <family val="2"/>
      <scheme val="minor"/>
    </font>
    <font>
      <sz val="8"/>
      <color theme="1"/>
      <name val="Calibri"/>
      <family val="2"/>
      <scheme val="minor"/>
    </font>
    <font>
      <sz val="8"/>
      <color theme="0"/>
      <name val="Calibri"/>
      <family val="2"/>
      <scheme val="minor"/>
    </font>
    <font>
      <b/>
      <sz val="14"/>
      <color theme="0"/>
      <name val="Calibri"/>
      <family val="2"/>
      <scheme val="minor"/>
    </font>
    <font>
      <sz val="9"/>
      <color indexed="81"/>
      <name val="Tahoma"/>
      <family val="2"/>
    </font>
    <font>
      <b/>
      <sz val="8"/>
      <color theme="1"/>
      <name val="Calibri"/>
      <family val="2"/>
      <scheme val="minor"/>
    </font>
    <font>
      <sz val="10"/>
      <color theme="0"/>
      <name val="Trebuchet MS"/>
      <family val="2"/>
    </font>
    <font>
      <sz val="10"/>
      <name val="Trebuchet MS"/>
      <family val="2"/>
    </font>
    <font>
      <b/>
      <sz val="9"/>
      <name val="Trebuchet MS"/>
      <family val="2"/>
    </font>
    <font>
      <b/>
      <sz val="9"/>
      <color theme="1"/>
      <name val="Calibri"/>
      <family val="2"/>
      <scheme val="minor"/>
    </font>
    <font>
      <b/>
      <sz val="8"/>
      <name val="Arial"/>
      <family val="2"/>
    </font>
    <font>
      <sz val="8"/>
      <name val="Arial"/>
      <family val="2"/>
    </font>
    <font>
      <sz val="8"/>
      <color rgb="FF000000"/>
      <name val="Segoe UI"/>
      <family val="2"/>
    </font>
    <font>
      <sz val="11"/>
      <name val="Calibri"/>
      <family val="2"/>
      <scheme val="minor"/>
    </font>
    <font>
      <sz val="11"/>
      <color theme="0"/>
      <name val="Calibri"/>
      <family val="2"/>
    </font>
    <font>
      <b/>
      <u/>
      <sz val="8"/>
      <color theme="1"/>
      <name val="Calibri"/>
      <family val="2"/>
      <scheme val="minor"/>
    </font>
    <font>
      <sz val="8"/>
      <color theme="0"/>
      <name val="Calibri"/>
      <family val="2"/>
    </font>
    <font>
      <b/>
      <u/>
      <sz val="11"/>
      <color theme="1"/>
      <name val="Calibri"/>
      <family val="2"/>
      <scheme val="minor"/>
    </font>
    <font>
      <b/>
      <sz val="11"/>
      <name val="Calibri"/>
      <family val="2"/>
      <scheme val="minor"/>
    </font>
    <font>
      <b/>
      <sz val="10"/>
      <name val="Arial"/>
      <family val="2"/>
    </font>
    <font>
      <b/>
      <sz val="11"/>
      <color rgb="FFFF0000"/>
      <name val="Calibri"/>
      <family val="2"/>
      <scheme val="minor"/>
    </font>
    <font>
      <sz val="11"/>
      <color rgb="FFFF0000"/>
      <name val="Calibri"/>
      <family val="2"/>
      <scheme val="minor"/>
    </font>
    <font>
      <sz val="10"/>
      <color rgb="FFFF0000"/>
      <name val="Arial"/>
      <family val="2"/>
    </font>
    <font>
      <b/>
      <sz val="14"/>
      <color indexed="16"/>
      <name val="Arial"/>
      <family val="2"/>
    </font>
    <font>
      <b/>
      <sz val="12"/>
      <color theme="1"/>
      <name val="Calibri"/>
      <family val="2"/>
      <scheme val="minor"/>
    </font>
    <font>
      <b/>
      <sz val="14"/>
      <color theme="5" tint="-0.499984740745262"/>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i/>
      <sz val="8"/>
      <color theme="1"/>
      <name val="Calibri"/>
      <family val="2"/>
      <scheme val="minor"/>
    </font>
    <font>
      <b/>
      <sz val="10"/>
      <name val="Calibri"/>
      <family val="2"/>
      <scheme val="minor"/>
    </font>
    <font>
      <b/>
      <u/>
      <sz val="12"/>
      <color theme="1"/>
      <name val="Calibri"/>
      <family val="2"/>
      <scheme val="minor"/>
    </font>
  </fonts>
  <fills count="19">
    <fill>
      <patternFill patternType="none"/>
    </fill>
    <fill>
      <patternFill patternType="gray125"/>
    </fill>
    <fill>
      <patternFill patternType="solid">
        <fgColor theme="3" tint="0.399975585192419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4" tint="0.39997558519241921"/>
        <bgColor indexed="64"/>
      </patternFill>
    </fill>
    <fill>
      <patternFill patternType="solid">
        <fgColor theme="5"/>
        <bgColor indexed="64"/>
      </patternFill>
    </fill>
    <fill>
      <patternFill patternType="solid">
        <fgColor theme="7"/>
        <bgColor indexed="64"/>
      </patternFill>
    </fill>
    <fill>
      <patternFill patternType="solid">
        <fgColor rgb="FFFF0000"/>
        <bgColor indexed="64"/>
      </patternFill>
    </fill>
    <fill>
      <patternFill patternType="solid">
        <fgColor theme="6"/>
        <bgColor indexed="64"/>
      </patternFill>
    </fill>
    <fill>
      <patternFill patternType="solid">
        <fgColor theme="9" tint="-0.249977111117893"/>
        <bgColor indexed="64"/>
      </patternFill>
    </fill>
    <fill>
      <patternFill patternType="solid">
        <fgColor rgb="FFFFFF00"/>
        <bgColor indexed="64"/>
      </patternFill>
    </fill>
    <fill>
      <patternFill patternType="solid">
        <fgColor theme="5"/>
      </patternFill>
    </fill>
    <fill>
      <patternFill patternType="solid">
        <fgColor rgb="FFF8CBAD"/>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11">
    <xf numFmtId="0" fontId="0" fillId="0" borderId="0"/>
    <xf numFmtId="167" fontId="2" fillId="0" borderId="0" applyFont="0" applyFill="0" applyBorder="0" applyAlignment="0" applyProtection="0"/>
    <xf numFmtId="0" fontId="4" fillId="0" borderId="0"/>
    <xf numFmtId="0" fontId="3" fillId="0" borderId="0"/>
    <xf numFmtId="168" fontId="3" fillId="0" borderId="0" applyFont="0" applyFill="0" applyBorder="0" applyAlignment="0" applyProtection="0"/>
    <xf numFmtId="0" fontId="6" fillId="0" borderId="0" applyNumberForma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0" fontId="2" fillId="0" borderId="0"/>
    <xf numFmtId="169" fontId="2" fillId="0" borderId="0" applyFont="0" applyFill="0" applyBorder="0" applyAlignment="0" applyProtection="0"/>
    <xf numFmtId="0" fontId="29" fillId="14" borderId="0" applyNumberFormat="0" applyBorder="0" applyAlignment="0" applyProtection="0"/>
  </cellStyleXfs>
  <cellXfs count="197">
    <xf numFmtId="0" fontId="0" fillId="0" borderId="0" xfId="0"/>
    <xf numFmtId="0" fontId="0" fillId="0" borderId="0" xfId="0" quotePrefix="1"/>
    <xf numFmtId="0" fontId="1" fillId="0" borderId="0" xfId="0" applyFont="1"/>
    <xf numFmtId="0" fontId="5" fillId="0" borderId="0" xfId="0" applyFont="1" applyAlignment="1">
      <alignment vertical="center"/>
    </xf>
    <xf numFmtId="0" fontId="7" fillId="0" borderId="0" xfId="5" applyFont="1"/>
    <xf numFmtId="0" fontId="5" fillId="0" borderId="0" xfId="0" applyFont="1" applyAlignment="1">
      <alignment horizontal="right"/>
    </xf>
    <xf numFmtId="0" fontId="6" fillId="0" borderId="0" xfId="5" applyAlignment="1"/>
    <xf numFmtId="0" fontId="6" fillId="0" borderId="0" xfId="5"/>
    <xf numFmtId="0" fontId="10" fillId="0" borderId="0" xfId="2" applyFont="1"/>
    <xf numFmtId="0" fontId="11" fillId="0" borderId="0" xfId="2" applyFont="1" applyAlignment="1">
      <alignment horizontal="left" vertical="center"/>
    </xf>
    <xf numFmtId="0" fontId="11" fillId="0" borderId="0" xfId="2" applyFont="1" applyAlignment="1">
      <alignment horizontal="center" vertical="center"/>
    </xf>
    <xf numFmtId="0" fontId="10" fillId="0" borderId="0" xfId="2" applyFont="1" applyAlignment="1">
      <alignment horizontal="left" vertical="center"/>
    </xf>
    <xf numFmtId="0" fontId="12" fillId="0" borderId="0" xfId="2" applyFont="1"/>
    <xf numFmtId="0" fontId="13" fillId="0" borderId="0" xfId="2" applyFont="1"/>
    <xf numFmtId="0" fontId="14" fillId="2" borderId="1" xfId="2" applyFont="1" applyFill="1" applyBorder="1" applyAlignment="1">
      <alignment horizontal="center"/>
    </xf>
    <xf numFmtId="0" fontId="10" fillId="0" borderId="1" xfId="2" applyFont="1" applyBorder="1"/>
    <xf numFmtId="14" fontId="10" fillId="0" borderId="1" xfId="2" applyNumberFormat="1" applyFont="1" applyBorder="1"/>
    <xf numFmtId="49" fontId="10" fillId="0" borderId="1" xfId="2" applyNumberFormat="1" applyFont="1" applyBorder="1"/>
    <xf numFmtId="0" fontId="16" fillId="3" borderId="1" xfId="2" applyFont="1" applyFill="1" applyBorder="1" applyAlignment="1">
      <alignment horizontal="left" vertical="center" wrapText="1"/>
    </xf>
    <xf numFmtId="0" fontId="10" fillId="4" borderId="4" xfId="2" applyFont="1" applyFill="1" applyBorder="1" applyAlignment="1">
      <alignment horizontal="center" vertical="center" wrapText="1"/>
    </xf>
    <xf numFmtId="0" fontId="10" fillId="4" borderId="1" xfId="2" applyFont="1" applyFill="1" applyBorder="1" applyAlignment="1">
      <alignment horizontal="center" vertical="center" wrapText="1"/>
    </xf>
    <xf numFmtId="0" fontId="10" fillId="0" borderId="5" xfId="2" applyFont="1" applyBorder="1" applyAlignment="1">
      <alignment horizontal="left" vertical="center"/>
    </xf>
    <xf numFmtId="3" fontId="10" fillId="0" borderId="1" xfId="2" applyNumberFormat="1" applyFont="1" applyBorder="1" applyAlignment="1">
      <alignment horizontal="left" vertical="center"/>
    </xf>
    <xf numFmtId="0" fontId="10" fillId="0" borderId="1" xfId="2" applyFont="1" applyBorder="1" applyAlignment="1">
      <alignment horizontal="left" vertical="center"/>
    </xf>
    <xf numFmtId="0" fontId="7" fillId="0" borderId="0" xfId="2" applyFont="1" applyAlignment="1">
      <alignment vertical="center"/>
    </xf>
    <xf numFmtId="0" fontId="15" fillId="0" borderId="0" xfId="2" applyFont="1"/>
    <xf numFmtId="0" fontId="18" fillId="6" borderId="0" xfId="2" applyFont="1" applyFill="1" applyAlignment="1">
      <alignment vertical="center"/>
    </xf>
    <xf numFmtId="0" fontId="17" fillId="6" borderId="0" xfId="2" applyFont="1" applyFill="1"/>
    <xf numFmtId="0" fontId="16" fillId="0" borderId="0" xfId="8" applyFont="1"/>
    <xf numFmtId="0" fontId="16" fillId="0" borderId="9" xfId="8" applyFont="1" applyBorder="1"/>
    <xf numFmtId="0" fontId="16" fillId="0" borderId="12" xfId="8" applyFont="1" applyBorder="1"/>
    <xf numFmtId="0" fontId="21" fillId="8" borderId="0" xfId="2" applyFont="1" applyFill="1"/>
    <xf numFmtId="0" fontId="21" fillId="9" borderId="0" xfId="2" applyFont="1" applyFill="1"/>
    <xf numFmtId="0" fontId="21" fillId="10" borderId="0" xfId="2" applyFont="1" applyFill="1"/>
    <xf numFmtId="0" fontId="22" fillId="0" borderId="0" xfId="2" applyFont="1"/>
    <xf numFmtId="0" fontId="23" fillId="0" borderId="1" xfId="2" applyFont="1" applyBorder="1" applyAlignment="1">
      <alignment horizontal="center"/>
    </xf>
    <xf numFmtId="0" fontId="22" fillId="11" borderId="2" xfId="2" applyFont="1" applyFill="1" applyBorder="1"/>
    <xf numFmtId="0" fontId="22" fillId="11" borderId="3" xfId="2" applyFont="1" applyFill="1" applyBorder="1"/>
    <xf numFmtId="0" fontId="21" fillId="11" borderId="3" xfId="2" applyFont="1" applyFill="1" applyBorder="1" applyAlignment="1">
      <alignment horizontal="right"/>
    </xf>
    <xf numFmtId="0" fontId="22" fillId="0" borderId="4" xfId="2" applyFont="1" applyBorder="1"/>
    <xf numFmtId="0" fontId="22" fillId="12" borderId="12" xfId="2" applyFont="1" applyFill="1" applyBorder="1"/>
    <xf numFmtId="0" fontId="22" fillId="12" borderId="13" xfId="2" applyFont="1" applyFill="1" applyBorder="1"/>
    <xf numFmtId="0" fontId="21" fillId="12" borderId="13" xfId="2" applyFont="1" applyFill="1" applyBorder="1" applyAlignment="1">
      <alignment horizontal="right"/>
    </xf>
    <xf numFmtId="0" fontId="16" fillId="0" borderId="0" xfId="0" applyFont="1"/>
    <xf numFmtId="0" fontId="16" fillId="0" borderId="0" xfId="0" applyFont="1" applyAlignment="1">
      <alignment horizontal="left"/>
    </xf>
    <xf numFmtId="0" fontId="20" fillId="0" borderId="0" xfId="0" applyFont="1"/>
    <xf numFmtId="0" fontId="16" fillId="13" borderId="0" xfId="0" applyFont="1" applyFill="1"/>
    <xf numFmtId="0" fontId="25" fillId="0" borderId="0" xfId="0" applyFont="1"/>
    <xf numFmtId="171" fontId="16" fillId="0" borderId="0" xfId="0" applyNumberFormat="1" applyFont="1"/>
    <xf numFmtId="0" fontId="26" fillId="0" borderId="0" xfId="0" applyFont="1"/>
    <xf numFmtId="0" fontId="16" fillId="0" borderId="0" xfId="0" applyFont="1" applyAlignment="1">
      <alignment vertical="center" wrapText="1"/>
    </xf>
    <xf numFmtId="0" fontId="20" fillId="0" borderId="0" xfId="0" applyFont="1" applyAlignment="1">
      <alignment vertical="center"/>
    </xf>
    <xf numFmtId="0" fontId="20" fillId="0" borderId="0" xfId="0" applyFont="1" applyAlignment="1">
      <alignment vertical="center" wrapText="1"/>
    </xf>
    <xf numFmtId="0" fontId="24" fillId="0" borderId="0" xfId="0" applyFont="1"/>
    <xf numFmtId="0" fontId="20" fillId="0" borderId="0" xfId="0" applyFont="1" applyAlignment="1">
      <alignment horizontal="center"/>
    </xf>
    <xf numFmtId="0" fontId="8" fillId="6" borderId="0" xfId="0" applyFont="1" applyFill="1"/>
    <xf numFmtId="0" fontId="8" fillId="0" borderId="0" xfId="0" applyFont="1"/>
    <xf numFmtId="0" fontId="0" fillId="0" borderId="0" xfId="0" applyAlignment="1">
      <alignment horizontal="left"/>
    </xf>
    <xf numFmtId="0" fontId="10" fillId="0" borderId="0" xfId="2" applyFont="1" applyAlignment="1">
      <alignment horizontal="center"/>
    </xf>
    <xf numFmtId="0" fontId="21" fillId="0" borderId="0" xfId="2" applyFont="1"/>
    <xf numFmtId="0" fontId="0" fillId="0" borderId="0" xfId="0" applyAlignment="1">
      <alignment horizontal="center"/>
    </xf>
    <xf numFmtId="0" fontId="0" fillId="0" borderId="0" xfId="0" quotePrefix="1" applyAlignment="1">
      <alignment horizontal="center"/>
    </xf>
    <xf numFmtId="0" fontId="16" fillId="0" borderId="8" xfId="8" applyFont="1" applyBorder="1" applyAlignment="1">
      <alignment horizontal="center"/>
    </xf>
    <xf numFmtId="0" fontId="16" fillId="0" borderId="11" xfId="8" applyFont="1" applyBorder="1" applyAlignment="1">
      <alignment horizontal="center"/>
    </xf>
    <xf numFmtId="0" fontId="16" fillId="0" borderId="5" xfId="8" applyFont="1" applyBorder="1" applyAlignment="1">
      <alignment horizontal="center"/>
    </xf>
    <xf numFmtId="0" fontId="10" fillId="0" borderId="0" xfId="2" applyFont="1" applyAlignment="1">
      <alignment horizontal="center" vertical="center"/>
    </xf>
    <xf numFmtId="14" fontId="10" fillId="0" borderId="0" xfId="2" applyNumberFormat="1" applyFont="1"/>
    <xf numFmtId="14" fontId="0" fillId="0" borderId="0" xfId="0" applyNumberFormat="1"/>
    <xf numFmtId="0" fontId="28" fillId="0" borderId="0" xfId="0" applyFont="1"/>
    <xf numFmtId="0" fontId="10" fillId="0" borderId="0" xfId="0" applyFont="1"/>
    <xf numFmtId="0" fontId="14" fillId="0" borderId="0" xfId="2" applyFont="1" applyAlignment="1">
      <alignment horizontal="center"/>
    </xf>
    <xf numFmtId="0" fontId="20" fillId="7" borderId="1" xfId="8" applyFont="1" applyFill="1" applyBorder="1" applyAlignment="1">
      <alignment horizontal="center"/>
    </xf>
    <xf numFmtId="0" fontId="20" fillId="7" borderId="2" xfId="8" applyFont="1" applyFill="1" applyBorder="1"/>
    <xf numFmtId="0" fontId="20" fillId="7" borderId="4" xfId="8" applyFont="1" applyFill="1" applyBorder="1"/>
    <xf numFmtId="0" fontId="16" fillId="0" borderId="0" xfId="0" pivotButton="1" applyFont="1"/>
    <xf numFmtId="14" fontId="16" fillId="0" borderId="0" xfId="0" applyNumberFormat="1" applyFont="1"/>
    <xf numFmtId="0" fontId="30" fillId="0" borderId="0" xfId="0" applyFont="1"/>
    <xf numFmtId="0" fontId="31" fillId="14" borderId="0" xfId="10" applyFont="1"/>
    <xf numFmtId="3" fontId="16" fillId="0" borderId="0" xfId="0" applyNumberFormat="1" applyFont="1"/>
    <xf numFmtId="9" fontId="16" fillId="0" borderId="0" xfId="7" applyFont="1" applyAlignment="1">
      <alignment horizontal="center"/>
    </xf>
    <xf numFmtId="9" fontId="16" fillId="0" borderId="0" xfId="7" applyFont="1"/>
    <xf numFmtId="164" fontId="16" fillId="0" borderId="0" xfId="6" applyNumberFormat="1" applyFont="1"/>
    <xf numFmtId="3" fontId="0" fillId="0" borderId="0" xfId="0" applyNumberFormat="1"/>
    <xf numFmtId="0" fontId="32" fillId="0" borderId="0" xfId="0" applyFont="1"/>
    <xf numFmtId="0" fontId="33" fillId="0" borderId="5" xfId="0" applyFont="1" applyBorder="1"/>
    <xf numFmtId="172" fontId="28" fillId="0" borderId="5" xfId="0" applyNumberFormat="1" applyFont="1" applyBorder="1"/>
    <xf numFmtId="173" fontId="28" fillId="15" borderId="5" xfId="0" applyNumberFormat="1" applyFont="1" applyFill="1" applyBorder="1"/>
    <xf numFmtId="0" fontId="33" fillId="0" borderId="1" xfId="0" applyFont="1" applyBorder="1"/>
    <xf numFmtId="9" fontId="28" fillId="0" borderId="1" xfId="7" applyFont="1" applyBorder="1"/>
    <xf numFmtId="0" fontId="28" fillId="0" borderId="1" xfId="0" applyFont="1" applyBorder="1"/>
    <xf numFmtId="174" fontId="28" fillId="15" borderId="1" xfId="0" applyNumberFormat="1" applyFont="1" applyFill="1" applyBorder="1"/>
    <xf numFmtId="174" fontId="28" fillId="0" borderId="1" xfId="0" applyNumberFormat="1" applyFont="1" applyBorder="1"/>
    <xf numFmtId="165" fontId="9" fillId="0" borderId="0" xfId="0" applyNumberFormat="1" applyFont="1"/>
    <xf numFmtId="165" fontId="0" fillId="0" borderId="0" xfId="0" applyNumberFormat="1"/>
    <xf numFmtId="10" fontId="28" fillId="15" borderId="1" xfId="7" applyNumberFormat="1" applyFont="1" applyFill="1" applyBorder="1"/>
    <xf numFmtId="10" fontId="28" fillId="0" borderId="1" xfId="7" applyNumberFormat="1" applyFont="1" applyBorder="1"/>
    <xf numFmtId="1" fontId="28" fillId="15" borderId="1" xfId="0" applyNumberFormat="1" applyFont="1" applyFill="1" applyBorder="1"/>
    <xf numFmtId="10" fontId="0" fillId="0" borderId="0" xfId="0" applyNumberFormat="1"/>
    <xf numFmtId="1" fontId="0" fillId="0" borderId="0" xfId="0" applyNumberFormat="1"/>
    <xf numFmtId="0" fontId="0" fillId="0" borderId="0" xfId="0" applyAlignment="1">
      <alignment horizontal="left" wrapText="1"/>
    </xf>
    <xf numFmtId="0" fontId="0" fillId="15" borderId="1" xfId="0" applyFill="1" applyBorder="1" applyAlignment="1">
      <alignment horizontal="center" vertical="center" wrapText="1"/>
    </xf>
    <xf numFmtId="0" fontId="0" fillId="16" borderId="1" xfId="0" applyFill="1" applyBorder="1" applyAlignment="1">
      <alignment horizontal="center" vertical="center" wrapText="1"/>
    </xf>
    <xf numFmtId="0" fontId="0" fillId="16" borderId="1" xfId="0" applyFill="1" applyBorder="1" applyAlignment="1">
      <alignment horizontal="left" wrapText="1"/>
    </xf>
    <xf numFmtId="174"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1" xfId="0" applyBorder="1" applyAlignment="1">
      <alignment horizontal="center" vertical="center" wrapText="1"/>
    </xf>
    <xf numFmtId="10" fontId="0" fillId="0" borderId="1" xfId="0" applyNumberFormat="1" applyBorder="1" applyAlignment="1">
      <alignment horizontal="center" vertical="center" wrapText="1"/>
    </xf>
    <xf numFmtId="175" fontId="0" fillId="0" borderId="1" xfId="7" applyNumberFormat="1" applyFont="1" applyBorder="1" applyAlignment="1">
      <alignment horizontal="center" vertical="center" wrapText="1"/>
    </xf>
    <xf numFmtId="0" fontId="0" fillId="0" borderId="0" xfId="0" applyAlignment="1">
      <alignment horizontal="left" vertical="center" wrapText="1"/>
    </xf>
    <xf numFmtId="0" fontId="0" fillId="16" borderId="1" xfId="0" applyFill="1" applyBorder="1" applyAlignment="1">
      <alignment wrapText="1"/>
    </xf>
    <xf numFmtId="173" fontId="0" fillId="0" borderId="1" xfId="0" applyNumberFormat="1" applyBorder="1" applyAlignment="1">
      <alignment horizontal="center" vertical="center" wrapText="1"/>
    </xf>
    <xf numFmtId="173" fontId="0" fillId="0" borderId="0" xfId="0" applyNumberFormat="1" applyAlignment="1">
      <alignment vertical="center"/>
    </xf>
    <xf numFmtId="0" fontId="0" fillId="0" borderId="0" xfId="0" applyAlignment="1">
      <alignment vertical="center"/>
    </xf>
    <xf numFmtId="0" fontId="0" fillId="0" borderId="0" xfId="0" applyAlignment="1">
      <alignment horizontal="center" vertical="center" wrapText="1"/>
    </xf>
    <xf numFmtId="174" fontId="0" fillId="0" borderId="0" xfId="0" applyNumberFormat="1" applyAlignment="1">
      <alignment horizontal="center" vertical="center" wrapText="1"/>
    </xf>
    <xf numFmtId="0" fontId="1" fillId="16" borderId="1" xfId="0" applyFont="1" applyFill="1" applyBorder="1" applyAlignment="1">
      <alignment horizontal="center" vertical="center"/>
    </xf>
    <xf numFmtId="0" fontId="0" fillId="0" borderId="2" xfId="0" applyBorder="1"/>
    <xf numFmtId="0" fontId="0" fillId="0" borderId="1" xfId="0" applyBorder="1" applyAlignment="1">
      <alignment horizontal="center"/>
    </xf>
    <xf numFmtId="174" fontId="0" fillId="0" borderId="1" xfId="0" applyNumberFormat="1" applyBorder="1" applyAlignment="1">
      <alignment horizontal="center"/>
    </xf>
    <xf numFmtId="0" fontId="0" fillId="0" borderId="1" xfId="0" applyBorder="1"/>
    <xf numFmtId="173" fontId="0" fillId="0" borderId="1" xfId="0" applyNumberFormat="1" applyBorder="1" applyAlignment="1">
      <alignment horizontal="center"/>
    </xf>
    <xf numFmtId="0" fontId="34" fillId="0" borderId="0" xfId="3" applyFont="1"/>
    <xf numFmtId="0" fontId="3" fillId="0" borderId="0" xfId="3"/>
    <xf numFmtId="0" fontId="8" fillId="0" borderId="0" xfId="0" applyFont="1" applyAlignment="1">
      <alignment horizontal="center" vertical="center"/>
    </xf>
    <xf numFmtId="14" fontId="0" fillId="0" borderId="0" xfId="0" applyNumberFormat="1" applyAlignment="1">
      <alignment horizontal="center"/>
    </xf>
    <xf numFmtId="3" fontId="0" fillId="0" borderId="0" xfId="0" applyNumberFormat="1" applyAlignment="1">
      <alignment horizontal="center"/>
    </xf>
    <xf numFmtId="0" fontId="1" fillId="0" borderId="0" xfId="0" applyFont="1" applyAlignment="1">
      <alignment horizontal="right"/>
    </xf>
    <xf numFmtId="0" fontId="35" fillId="0" borderId="0" xfId="0" applyFont="1"/>
    <xf numFmtId="0" fontId="36" fillId="0" borderId="0" xfId="0" applyFont="1"/>
    <xf numFmtId="0" fontId="37" fillId="0" borderId="0" xfId="3" applyFont="1"/>
    <xf numFmtId="0" fontId="38" fillId="0" borderId="0" xfId="3" applyFont="1"/>
    <xf numFmtId="0" fontId="1" fillId="0" borderId="0" xfId="0" quotePrefix="1" applyFont="1"/>
    <xf numFmtId="0" fontId="39" fillId="0" borderId="0" xfId="0" applyFont="1"/>
    <xf numFmtId="0" fontId="1" fillId="0" borderId="0" xfId="0" applyFont="1" applyAlignment="1">
      <alignment vertical="center"/>
    </xf>
    <xf numFmtId="14" fontId="0" fillId="0" borderId="0" xfId="0" applyNumberFormat="1" applyAlignment="1">
      <alignment vertical="center"/>
    </xf>
    <xf numFmtId="0" fontId="1" fillId="0" borderId="0" xfId="0" applyFont="1" applyAlignment="1">
      <alignment horizontal="center" vertical="center"/>
    </xf>
    <xf numFmtId="14" fontId="0" fillId="4" borderId="0" xfId="0" applyNumberFormat="1" applyFill="1" applyAlignment="1">
      <alignment vertical="center"/>
    </xf>
    <xf numFmtId="0" fontId="0" fillId="4" borderId="0" xfId="0" applyFill="1" applyAlignment="1">
      <alignment vertical="center"/>
    </xf>
    <xf numFmtId="14" fontId="0" fillId="4" borderId="0" xfId="0" applyNumberFormat="1" applyFill="1"/>
    <xf numFmtId="176" fontId="0" fillId="0" borderId="0" xfId="0" applyNumberFormat="1"/>
    <xf numFmtId="0" fontId="0" fillId="4" borderId="0" xfId="0" applyFill="1"/>
    <xf numFmtId="21" fontId="0" fillId="4" borderId="0" xfId="0" applyNumberFormat="1" applyFill="1"/>
    <xf numFmtId="0" fontId="40" fillId="0" borderId="0" xfId="0" applyFont="1"/>
    <xf numFmtId="0" fontId="41" fillId="0" borderId="0" xfId="0" applyFont="1"/>
    <xf numFmtId="0" fontId="42" fillId="0" borderId="0" xfId="0" applyFont="1"/>
    <xf numFmtId="0" fontId="43" fillId="6" borderId="0" xfId="2" applyFont="1" applyFill="1" applyAlignment="1">
      <alignment vertical="center"/>
    </xf>
    <xf numFmtId="0" fontId="44" fillId="6" borderId="0" xfId="2" applyFont="1" applyFill="1"/>
    <xf numFmtId="0" fontId="16" fillId="0" borderId="0" xfId="0" quotePrefix="1" applyFont="1" applyAlignment="1">
      <alignment horizontal="right"/>
    </xf>
    <xf numFmtId="0" fontId="16" fillId="0" borderId="0" xfId="0" quotePrefix="1" applyFont="1"/>
    <xf numFmtId="0" fontId="42" fillId="17" borderId="0" xfId="0" applyFont="1" applyFill="1"/>
    <xf numFmtId="0" fontId="16" fillId="0" borderId="0" xfId="0" applyFont="1" applyAlignment="1">
      <alignment horizontal="center"/>
    </xf>
    <xf numFmtId="0" fontId="42" fillId="0" borderId="0" xfId="0" applyFont="1" applyAlignment="1">
      <alignment horizontal="center"/>
    </xf>
    <xf numFmtId="0" fontId="16" fillId="17" borderId="0" xfId="0" applyFont="1" applyFill="1" applyAlignment="1">
      <alignment horizontal="center"/>
    </xf>
    <xf numFmtId="0" fontId="41" fillId="0" borderId="0" xfId="0" applyFont="1" applyAlignment="1">
      <alignment horizontal="left"/>
    </xf>
    <xf numFmtId="0" fontId="42" fillId="0" borderId="0" xfId="0" applyFont="1" applyAlignment="1">
      <alignment horizontal="left"/>
    </xf>
    <xf numFmtId="17" fontId="20" fillId="0" borderId="0" xfId="0" applyNumberFormat="1" applyFont="1" applyAlignment="1">
      <alignment horizontal="center"/>
    </xf>
    <xf numFmtId="0" fontId="20" fillId="17" borderId="0" xfId="0" applyFont="1" applyFill="1" applyAlignment="1">
      <alignment horizontal="center"/>
    </xf>
    <xf numFmtId="3" fontId="16" fillId="0" borderId="0" xfId="0" applyNumberFormat="1" applyFont="1" applyAlignment="1">
      <alignment horizontal="center"/>
    </xf>
    <xf numFmtId="3" fontId="41" fillId="18" borderId="0" xfId="0" applyNumberFormat="1" applyFont="1" applyFill="1" applyAlignment="1">
      <alignment horizontal="center"/>
    </xf>
    <xf numFmtId="0" fontId="42" fillId="0" borderId="0" xfId="0" applyFont="1" applyAlignment="1">
      <alignment vertical="center"/>
    </xf>
    <xf numFmtId="0" fontId="45" fillId="0" borderId="0" xfId="0" applyFont="1" applyAlignment="1">
      <alignment horizontal="center" vertical="center"/>
    </xf>
    <xf numFmtId="0" fontId="41" fillId="0" borderId="0" xfId="0" applyFont="1" applyAlignment="1">
      <alignment horizontal="center" vertical="center"/>
    </xf>
    <xf numFmtId="17" fontId="41" fillId="0" borderId="0" xfId="0" applyNumberFormat="1" applyFont="1" applyAlignment="1">
      <alignment horizontal="center" vertical="center"/>
    </xf>
    <xf numFmtId="3" fontId="42" fillId="0" borderId="0" xfId="0" applyNumberFormat="1" applyFont="1" applyAlignment="1">
      <alignment horizontal="center" vertical="center"/>
    </xf>
    <xf numFmtId="0" fontId="20" fillId="7" borderId="4" xfId="8" applyFont="1" applyFill="1" applyBorder="1" applyAlignment="1">
      <alignment horizontal="center"/>
    </xf>
    <xf numFmtId="0" fontId="16" fillId="0" borderId="10" xfId="8" applyFont="1" applyBorder="1" applyAlignment="1">
      <alignment horizontal="center"/>
    </xf>
    <xf numFmtId="0" fontId="16" fillId="0" borderId="11" xfId="8" applyFont="1" applyBorder="1"/>
    <xf numFmtId="0" fontId="16" fillId="0" borderId="5" xfId="8" applyFont="1" applyBorder="1"/>
    <xf numFmtId="0" fontId="16" fillId="0" borderId="14" xfId="8" applyFont="1" applyBorder="1" applyAlignment="1">
      <alignment horizontal="center"/>
    </xf>
    <xf numFmtId="0" fontId="20" fillId="7" borderId="8" xfId="8" applyFont="1" applyFill="1" applyBorder="1"/>
    <xf numFmtId="170" fontId="16" fillId="0" borderId="10" xfId="9" applyNumberFormat="1" applyFont="1" applyFill="1" applyBorder="1"/>
    <xf numFmtId="170" fontId="16" fillId="0" borderId="14" xfId="9" applyNumberFormat="1" applyFont="1" applyFill="1" applyBorder="1"/>
    <xf numFmtId="0" fontId="46" fillId="0" borderId="0" xfId="2" applyFont="1"/>
    <xf numFmtId="0" fontId="47" fillId="0" borderId="0" xfId="0" applyFont="1"/>
    <xf numFmtId="22" fontId="0" fillId="0" borderId="0" xfId="0" applyNumberFormat="1"/>
    <xf numFmtId="0" fontId="10" fillId="0" borderId="0" xfId="2" quotePrefix="1" applyFont="1"/>
    <xf numFmtId="17" fontId="16" fillId="0" borderId="0" xfId="0" applyNumberFormat="1" applyFont="1" applyAlignment="1">
      <alignment horizontal="center"/>
    </xf>
    <xf numFmtId="0" fontId="22" fillId="0" borderId="0" xfId="2" applyFont="1" applyFill="1"/>
    <xf numFmtId="0" fontId="17" fillId="5" borderId="2" xfId="2" applyFont="1" applyFill="1" applyBorder="1" applyAlignment="1">
      <alignment horizontal="center"/>
    </xf>
    <xf numFmtId="0" fontId="17" fillId="5" borderId="3" xfId="2" applyFont="1" applyFill="1" applyBorder="1" applyAlignment="1">
      <alignment horizontal="center"/>
    </xf>
    <xf numFmtId="0" fontId="17" fillId="5" borderId="4" xfId="2" applyFont="1" applyFill="1" applyBorder="1" applyAlignment="1">
      <alignment horizontal="center"/>
    </xf>
    <xf numFmtId="0" fontId="33" fillId="0" borderId="1" xfId="0" applyFont="1" applyBorder="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16" borderId="1" xfId="0" applyFont="1" applyFill="1" applyBorder="1" applyAlignment="1">
      <alignment horizontal="center"/>
    </xf>
    <xf numFmtId="0" fontId="33" fillId="15" borderId="1" xfId="0" applyFont="1" applyFill="1" applyBorder="1" applyAlignment="1">
      <alignment horizontal="left" vertical="center" wrapText="1"/>
    </xf>
    <xf numFmtId="0" fontId="33" fillId="15" borderId="6" xfId="0" applyFont="1" applyFill="1" applyBorder="1" applyAlignment="1">
      <alignment horizontal="center" vertical="center" wrapText="1"/>
    </xf>
    <xf numFmtId="0" fontId="33" fillId="15" borderId="15"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9" xfId="0" applyFont="1" applyFill="1" applyBorder="1" applyAlignment="1">
      <alignment horizontal="center" vertical="center" wrapText="1"/>
    </xf>
    <xf numFmtId="0" fontId="33" fillId="15" borderId="0" xfId="0" applyFont="1" applyFill="1" applyAlignment="1">
      <alignment horizontal="center" vertical="center" wrapText="1"/>
    </xf>
    <xf numFmtId="0" fontId="33" fillId="15" borderId="10" xfId="0" applyFont="1" applyFill="1" applyBorder="1" applyAlignment="1">
      <alignment horizontal="center" vertical="center" wrapText="1"/>
    </xf>
    <xf numFmtId="0" fontId="33" fillId="15" borderId="12" xfId="0" applyFont="1" applyFill="1" applyBorder="1" applyAlignment="1">
      <alignment horizontal="center" vertical="center" wrapText="1"/>
    </xf>
    <xf numFmtId="0" fontId="33" fillId="15" borderId="13" xfId="0" applyFont="1" applyFill="1" applyBorder="1" applyAlignment="1">
      <alignment horizontal="center" vertical="center" wrapText="1"/>
    </xf>
    <xf numFmtId="0" fontId="33" fillId="15" borderId="14" xfId="0" applyFont="1" applyFill="1" applyBorder="1" applyAlignment="1">
      <alignment horizontal="center" vertical="center" wrapText="1"/>
    </xf>
    <xf numFmtId="0" fontId="42" fillId="0" borderId="0" xfId="0" applyFont="1" applyAlignment="1">
      <alignment horizontal="center" vertical="center"/>
    </xf>
    <xf numFmtId="0" fontId="42" fillId="0" borderId="0" xfId="0" applyFont="1" applyAlignment="1">
      <alignment horizontal="center"/>
    </xf>
  </cellXfs>
  <cellStyles count="11">
    <cellStyle name="Énfasis2" xfId="10" builtinId="33"/>
    <cellStyle name="Hipervínculo" xfId="5" builtinId="8"/>
    <cellStyle name="Millares 2" xfId="1" xr:uid="{231C548C-FB7F-4B00-A0B8-81D9BC57A7A9}"/>
    <cellStyle name="Millares 3" xfId="4" xr:uid="{15A478EB-3C87-4446-B141-61BFDE95E57D}"/>
    <cellStyle name="Moneda" xfId="6" builtinId="4"/>
    <cellStyle name="Moneda 2 2" xfId="9" xr:uid="{0EB91C59-ED4E-4540-8307-7E66662FC761}"/>
    <cellStyle name="Normal" xfId="0" builtinId="0"/>
    <cellStyle name="Normal 2" xfId="2" xr:uid="{D88A1607-7F01-4FDC-A8DE-A5A652D2D7B6}"/>
    <cellStyle name="Normal 2 2" xfId="8" xr:uid="{DF653056-4450-4026-9317-4182E3D8062E}"/>
    <cellStyle name="Normal 3" xfId="3" xr:uid="{68990A07-7A68-4EF9-B08B-44D8495D632C}"/>
    <cellStyle name="Porcentaje" xfId="7" builtinId="5"/>
  </cellStyles>
  <dxfs count="173">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0" formatCode="General"/>
    </dxf>
    <dxf>
      <numFmt numFmtId="0" formatCode="General"/>
    </dxf>
    <dxf>
      <numFmt numFmtId="0" formatCode="General"/>
    </dxf>
    <dxf>
      <fill>
        <patternFill>
          <bgColor theme="9" tint="0.59996337778862885"/>
        </patternFill>
      </fill>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177" formatCode="d/mm/yyyy"/>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numFmt numFmtId="3" formatCode="#,##0"/>
    </dxf>
    <dxf>
      <numFmt numFmtId="3" formatCode="#,##0"/>
    </dxf>
    <dxf>
      <font>
        <strike val="0"/>
        <outline val="0"/>
        <shadow val="0"/>
        <u val="none"/>
        <vertAlign val="baseline"/>
        <sz val="8"/>
        <color theme="1"/>
        <name val="Calibri"/>
        <family val="2"/>
        <scheme val="minor"/>
      </font>
      <numFmt numFmtId="0" formatCode="General"/>
    </dxf>
    <dxf>
      <font>
        <strike val="0"/>
        <outline val="0"/>
        <shadow val="0"/>
        <u val="none"/>
        <vertAlign val="baseline"/>
        <sz val="8"/>
        <color theme="1"/>
        <name val="Calibri"/>
        <family val="2"/>
        <scheme val="minor"/>
      </font>
      <numFmt numFmtId="0" formatCode="General"/>
    </dxf>
    <dxf>
      <font>
        <strike val="0"/>
        <outline val="0"/>
        <shadow val="0"/>
        <u val="none"/>
        <vertAlign val="baseline"/>
        <sz val="8"/>
        <color theme="1"/>
        <name val="Calibri"/>
        <family val="2"/>
        <scheme val="minor"/>
      </font>
      <numFmt numFmtId="0" formatCode="General"/>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numFmt numFmtId="177" formatCode="d/mm/yyyy"/>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numFmt numFmtId="3" formatCode="#,##0"/>
    </dxf>
    <dxf>
      <font>
        <b/>
        <color theme="1"/>
      </font>
      <border>
        <bottom style="thin">
          <color theme="6"/>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fill>
        <patternFill patternType="none">
          <bgColor auto="1"/>
        </patternFill>
      </fill>
      <border diagonalUp="0" diagonalDown="0">
        <left/>
        <right/>
        <top/>
        <bottom/>
        <vertical/>
        <horizontal/>
      </border>
    </dxf>
  </dxfs>
  <tableStyles count="4" defaultTableStyle="TableStyleMedium2" defaultPivotStyle="PivotStyleLight16">
    <tableStyle name="PersonalizadoSinBorde" pivot="0" table="0" count="10" xr9:uid="{FAB0AA8E-0779-4AF0-AC2D-67EBD7CB878D}">
      <tableStyleElement type="wholeTable" dxfId="172"/>
      <tableStyleElement type="headerRow" dxfId="171"/>
    </tableStyle>
    <tableStyle name="Prueba" pivot="0" table="0" count="10" xr9:uid="{EB904E52-DAF2-4FE6-8DBD-16EB6EC5E297}">
      <tableStyleElement type="wholeTable" dxfId="170"/>
      <tableStyleElement type="headerRow" dxfId="169"/>
    </tableStyle>
    <tableStyle name="Prueba2" pivot="0" table="0" count="10" xr9:uid="{90315EEE-DF74-482F-A00A-85C1F5C2E40C}">
      <tableStyleElement type="wholeTable" dxfId="168"/>
      <tableStyleElement type="headerRow" dxfId="167"/>
    </tableStyle>
    <tableStyle name="prueba4" pivot="0" table="0" count="10" xr9:uid="{761C0F4D-AEE6-40E8-88C1-9FF05569E37B}">
      <tableStyleElement type="wholeTable" dxfId="166"/>
      <tableStyleElement type="headerRow" dxfId="165"/>
    </tableStyle>
  </tableStyles>
  <colors>
    <mruColors>
      <color rgb="FFF8CBAD"/>
      <color rgb="FF00000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PersonalizadoSinBord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Prueba">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Prueba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prueba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[Clase 04 - Excel Profesional.New.xlsm]Dashboard!TablaDinámica1</c:name>
    <c:fmtId val="0"/>
  </c:pivotSource>
  <c:chart>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w="9525">
              <a:solidFill>
                <a:schemeClr val="accent4">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Dashboard!$N$5</c:f>
              <c:strCache>
                <c:ptCount val="1"/>
                <c:pt idx="0">
                  <c:v>Suma de Ventas</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Dashboard!$M$6:$M$9</c:f>
              <c:strCache>
                <c:ptCount val="3"/>
                <c:pt idx="0">
                  <c:v>Formación</c:v>
                </c:pt>
                <c:pt idx="1">
                  <c:v>InfoProducto</c:v>
                </c:pt>
                <c:pt idx="2">
                  <c:v>Servicio</c:v>
                </c:pt>
              </c:strCache>
            </c:strRef>
          </c:cat>
          <c:val>
            <c:numRef>
              <c:f>Dashboard!$N$6:$N$9</c:f>
              <c:numCache>
                <c:formatCode>#,##0</c:formatCode>
                <c:ptCount val="3"/>
                <c:pt idx="0">
                  <c:v>1659248</c:v>
                </c:pt>
                <c:pt idx="1">
                  <c:v>1849566</c:v>
                </c:pt>
                <c:pt idx="2">
                  <c:v>2201371</c:v>
                </c:pt>
              </c:numCache>
            </c:numRef>
          </c:val>
          <c:extLst>
            <c:ext xmlns:c16="http://schemas.microsoft.com/office/drawing/2014/chart" uri="{C3380CC4-5D6E-409C-BE32-E72D297353CC}">
              <c16:uniqueId val="{00000000-8B22-44D6-A0FD-785251ED5600}"/>
            </c:ext>
          </c:extLst>
        </c:ser>
        <c:dLbls>
          <c:showLegendKey val="0"/>
          <c:showVal val="0"/>
          <c:showCatName val="0"/>
          <c:showSerName val="0"/>
          <c:showPercent val="0"/>
          <c:showBubbleSize val="0"/>
        </c:dLbls>
        <c:gapWidth val="219"/>
        <c:overlap val="-27"/>
        <c:axId val="1200301888"/>
        <c:axId val="1240102464"/>
      </c:barChart>
      <c:lineChart>
        <c:grouping val="standard"/>
        <c:varyColors val="0"/>
        <c:ser>
          <c:idx val="1"/>
          <c:order val="1"/>
          <c:tx>
            <c:strRef>
              <c:f>Dashboard!$O$5</c:f>
              <c:strCache>
                <c:ptCount val="1"/>
                <c:pt idx="0">
                  <c:v>Suma de Beneficio</c:v>
                </c:pt>
              </c:strCache>
            </c:strRef>
          </c:tx>
          <c:spPr>
            <a:ln w="34925" cap="rnd">
              <a:solidFill>
                <a:schemeClr val="accent4">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w="9525">
                <a:solidFill>
                  <a:schemeClr val="accent4">
                    <a:tint val="77000"/>
                  </a:schemeClr>
                </a:solidFill>
                <a:round/>
              </a:ln>
              <a:effectLst>
                <a:outerShdw blurRad="57150" dist="19050" dir="5400000" algn="ctr" rotWithShape="0">
                  <a:srgbClr val="000000">
                    <a:alpha val="63000"/>
                  </a:srgbClr>
                </a:outerShdw>
              </a:effectLst>
            </c:spPr>
          </c:marker>
          <c:cat>
            <c:strRef>
              <c:f>Dashboard!$M$6:$M$9</c:f>
              <c:strCache>
                <c:ptCount val="3"/>
                <c:pt idx="0">
                  <c:v>Formación</c:v>
                </c:pt>
                <c:pt idx="1">
                  <c:v>InfoProducto</c:v>
                </c:pt>
                <c:pt idx="2">
                  <c:v>Servicio</c:v>
                </c:pt>
              </c:strCache>
            </c:strRef>
          </c:cat>
          <c:val>
            <c:numRef>
              <c:f>Dashboard!$O$6:$O$9</c:f>
              <c:numCache>
                <c:formatCode>#,##0</c:formatCode>
                <c:ptCount val="3"/>
                <c:pt idx="0">
                  <c:v>501084.57999999955</c:v>
                </c:pt>
                <c:pt idx="1">
                  <c:v>554797.79</c:v>
                </c:pt>
                <c:pt idx="2">
                  <c:v>647826.18999999983</c:v>
                </c:pt>
              </c:numCache>
            </c:numRef>
          </c:val>
          <c:smooth val="0"/>
          <c:extLst>
            <c:ext xmlns:c16="http://schemas.microsoft.com/office/drawing/2014/chart" uri="{C3380CC4-5D6E-409C-BE32-E72D297353CC}">
              <c16:uniqueId val="{00000001-8B22-44D6-A0FD-785251ED5600}"/>
            </c:ext>
          </c:extLst>
        </c:ser>
        <c:dLbls>
          <c:showLegendKey val="0"/>
          <c:showVal val="0"/>
          <c:showCatName val="0"/>
          <c:showSerName val="0"/>
          <c:showPercent val="0"/>
          <c:showBubbleSize val="0"/>
        </c:dLbls>
        <c:marker val="1"/>
        <c:smooth val="0"/>
        <c:axId val="1200304288"/>
        <c:axId val="1317319232"/>
      </c:lineChart>
      <c:catAx>
        <c:axId val="1200301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240102464"/>
        <c:crosses val="autoZero"/>
        <c:auto val="1"/>
        <c:lblAlgn val="ctr"/>
        <c:lblOffset val="100"/>
        <c:noMultiLvlLbl val="0"/>
      </c:catAx>
      <c:valAx>
        <c:axId val="124010246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200301888"/>
        <c:crosses val="autoZero"/>
        <c:crossBetween val="between"/>
      </c:valAx>
      <c:valAx>
        <c:axId val="131731923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200304288"/>
        <c:crosses val="max"/>
        <c:crossBetween val="between"/>
      </c:valAx>
      <c:catAx>
        <c:axId val="1200304288"/>
        <c:scaling>
          <c:orientation val="minMax"/>
        </c:scaling>
        <c:delete val="1"/>
        <c:axPos val="b"/>
        <c:numFmt formatCode="General" sourceLinked="1"/>
        <c:majorTickMark val="none"/>
        <c:minorTickMark val="none"/>
        <c:tickLblPos val="nextTo"/>
        <c:crossAx val="13173192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4"/>
      </a:solidFill>
    </a:ln>
    <a:effectLst>
      <a:glow rad="63500">
        <a:schemeClr val="accent4">
          <a:satMod val="175000"/>
          <a:alpha val="40000"/>
        </a:schemeClr>
      </a:glow>
      <a:outerShdw blurRad="50800" dist="38100" dir="18900000" algn="bl" rotWithShape="0">
        <a:prstClr val="black">
          <a:alpha val="40000"/>
        </a:prstClr>
      </a:outerShdw>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[Clase 04 - Excel Profesional.New.xlsm]Dashboard!TablaDinámica2</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Dashboard!$N$12</c:f>
              <c:strCache>
                <c:ptCount val="1"/>
                <c:pt idx="0">
                  <c:v>Suma de Ventas</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Dashboard!$M$13:$M$15</c:f>
              <c:strCache>
                <c:ptCount val="2"/>
                <c:pt idx="0">
                  <c:v>Nuevo</c:v>
                </c:pt>
                <c:pt idx="1">
                  <c:v>Retenido</c:v>
                </c:pt>
              </c:strCache>
            </c:strRef>
          </c:cat>
          <c:val>
            <c:numRef>
              <c:f>Dashboard!$N$13:$N$15</c:f>
              <c:numCache>
                <c:formatCode>#,##0</c:formatCode>
                <c:ptCount val="2"/>
                <c:pt idx="0">
                  <c:v>2636078</c:v>
                </c:pt>
                <c:pt idx="1">
                  <c:v>3074107</c:v>
                </c:pt>
              </c:numCache>
            </c:numRef>
          </c:val>
          <c:extLst>
            <c:ext xmlns:c16="http://schemas.microsoft.com/office/drawing/2014/chart" uri="{C3380CC4-5D6E-409C-BE32-E72D297353CC}">
              <c16:uniqueId val="{00000000-1E15-4599-8857-AD6428C0ABEB}"/>
            </c:ext>
          </c:extLst>
        </c:ser>
        <c:ser>
          <c:idx val="1"/>
          <c:order val="1"/>
          <c:tx>
            <c:strRef>
              <c:f>Dashboard!$O$12</c:f>
              <c:strCache>
                <c:ptCount val="1"/>
                <c:pt idx="0">
                  <c:v>Suma de Beneficio</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Dashboard!$M$13:$M$15</c:f>
              <c:strCache>
                <c:ptCount val="2"/>
                <c:pt idx="0">
                  <c:v>Nuevo</c:v>
                </c:pt>
                <c:pt idx="1">
                  <c:v>Retenido</c:v>
                </c:pt>
              </c:strCache>
            </c:strRef>
          </c:cat>
          <c:val>
            <c:numRef>
              <c:f>Dashboard!$O$13:$O$15</c:f>
              <c:numCache>
                <c:formatCode>#,##0</c:formatCode>
                <c:ptCount val="2"/>
                <c:pt idx="0">
                  <c:v>789531.60999999964</c:v>
                </c:pt>
                <c:pt idx="1">
                  <c:v>914176.94999999972</c:v>
                </c:pt>
              </c:numCache>
            </c:numRef>
          </c:val>
          <c:extLst>
            <c:ext xmlns:c16="http://schemas.microsoft.com/office/drawing/2014/chart" uri="{C3380CC4-5D6E-409C-BE32-E72D297353CC}">
              <c16:uniqueId val="{00000001-1E15-4599-8857-AD6428C0ABEB}"/>
            </c:ext>
          </c:extLst>
        </c:ser>
        <c:dLbls>
          <c:showLegendKey val="0"/>
          <c:showVal val="0"/>
          <c:showCatName val="0"/>
          <c:showSerName val="0"/>
          <c:showPercent val="0"/>
          <c:showBubbleSize val="0"/>
        </c:dLbls>
        <c:gapWidth val="115"/>
        <c:overlap val="-20"/>
        <c:axId val="1196808464"/>
        <c:axId val="1249279344"/>
      </c:barChart>
      <c:catAx>
        <c:axId val="119680846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249279344"/>
        <c:crosses val="autoZero"/>
        <c:auto val="1"/>
        <c:lblAlgn val="ctr"/>
        <c:lblOffset val="100"/>
        <c:noMultiLvlLbl val="0"/>
      </c:catAx>
      <c:valAx>
        <c:axId val="1249279344"/>
        <c:scaling>
          <c:orientation val="minMax"/>
        </c:scaling>
        <c:delete val="0"/>
        <c:axPos val="b"/>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19680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4"/>
      </a:solidFill>
    </a:ln>
    <a:effectLst>
      <a:glow rad="63500">
        <a:schemeClr val="accent4">
          <a:satMod val="175000"/>
          <a:alpha val="40000"/>
        </a:schemeClr>
      </a:glow>
      <a:outerShdw blurRad="50800" dist="38100" dir="18900000" algn="bl" rotWithShape="0">
        <a:prstClr val="black">
          <a:alpha val="40000"/>
        </a:prstClr>
      </a:outerShdw>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[Clase 04 - Excel Profesional.New.xlsm]Dashboard!TablaDinámica3</c:name>
    <c:fmtId val="0"/>
  </c:pivotSource>
  <c:chart>
    <c:autoTitleDeleted val="1"/>
    <c:pivotFmts>
      <c:pivotFmt>
        <c:idx val="0"/>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Dashboard!$N$18</c:f>
              <c:strCache>
                <c:ptCount val="1"/>
                <c:pt idx="0">
                  <c:v>Total</c:v>
                </c:pt>
              </c:strCache>
            </c:strRef>
          </c:tx>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cat>
            <c:strRef>
              <c:f>Dashboard!$M$19:$M$24</c:f>
              <c:strCache>
                <c:ptCount val="5"/>
                <c:pt idx="0">
                  <c:v>Cliente 11</c:v>
                </c:pt>
                <c:pt idx="1">
                  <c:v>Cliente 12</c:v>
                </c:pt>
                <c:pt idx="2">
                  <c:v>Cliente 13</c:v>
                </c:pt>
                <c:pt idx="3">
                  <c:v>Cliente 2</c:v>
                </c:pt>
                <c:pt idx="4">
                  <c:v>Cliente 8</c:v>
                </c:pt>
              </c:strCache>
            </c:strRef>
          </c:cat>
          <c:val>
            <c:numRef>
              <c:f>Dashboard!$N$19:$N$24</c:f>
              <c:numCache>
                <c:formatCode>#,##0</c:formatCode>
                <c:ptCount val="5"/>
                <c:pt idx="0">
                  <c:v>260529</c:v>
                </c:pt>
                <c:pt idx="1">
                  <c:v>292543</c:v>
                </c:pt>
                <c:pt idx="2">
                  <c:v>253349</c:v>
                </c:pt>
                <c:pt idx="3">
                  <c:v>254960</c:v>
                </c:pt>
                <c:pt idx="4">
                  <c:v>251048</c:v>
                </c:pt>
              </c:numCache>
            </c:numRef>
          </c:val>
          <c:smooth val="0"/>
          <c:extLst>
            <c:ext xmlns:c16="http://schemas.microsoft.com/office/drawing/2014/chart" uri="{C3380CC4-5D6E-409C-BE32-E72D297353CC}">
              <c16:uniqueId val="{00000000-F965-499E-8538-8DAC681F8C74}"/>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07784208"/>
        <c:axId val="1390179344"/>
      </c:lineChart>
      <c:catAx>
        <c:axId val="160778420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1390179344"/>
        <c:crosses val="autoZero"/>
        <c:auto val="1"/>
        <c:lblAlgn val="ctr"/>
        <c:lblOffset val="100"/>
        <c:noMultiLvlLbl val="0"/>
      </c:catAx>
      <c:valAx>
        <c:axId val="13901793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160778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4"/>
        </a:gs>
        <a:gs pos="97000">
          <a:schemeClr val="accent4">
            <a:lumMod val="75000"/>
          </a:schemeClr>
        </a:gs>
      </a:gsLst>
      <a:path path="circle">
        <a:fillToRect l="50000" t="50000" r="50000" b="50000"/>
      </a:path>
      <a:tileRect/>
    </a:gradFill>
    <a:ln w="9525" cap="flat" cmpd="sng" algn="ctr">
      <a:solidFill>
        <a:schemeClr val="accent4"/>
      </a:solidFill>
      <a:round/>
    </a:ln>
    <a:effectLst>
      <a:glow rad="63500">
        <a:schemeClr val="accent4">
          <a:satMod val="175000"/>
          <a:alpha val="40000"/>
        </a:schemeClr>
      </a:glow>
      <a:outerShdw blurRad="50800" dist="38100" dir="18900000" algn="bl" rotWithShape="0">
        <a:prstClr val="black">
          <a:alpha val="40000"/>
        </a:prstClr>
      </a:outerShdw>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[Clase 04 - Excel Profesional.New.xlsm]Dashboard!TablaDinámica4</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Dashboard!$N$27</c:f>
              <c:strCache>
                <c:ptCount val="1"/>
                <c:pt idx="0">
                  <c:v>Total</c:v>
                </c:pt>
              </c:strCache>
            </c:strRef>
          </c:tx>
          <c:dPt>
            <c:idx val="0"/>
            <c:bubble3D val="0"/>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64F-4874-A015-A7823ED2E291}"/>
              </c:ext>
            </c:extLst>
          </c:dPt>
          <c:dPt>
            <c:idx val="1"/>
            <c:bubble3D val="0"/>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64F-4874-A015-A7823ED2E291}"/>
              </c:ext>
            </c:extLst>
          </c:dPt>
          <c:cat>
            <c:strRef>
              <c:f>Dashboard!$M$28:$M$30</c:f>
              <c:strCache>
                <c:ptCount val="2"/>
                <c:pt idx="0">
                  <c:v>Cobrada</c:v>
                </c:pt>
                <c:pt idx="1">
                  <c:v>Pendiente</c:v>
                </c:pt>
              </c:strCache>
            </c:strRef>
          </c:cat>
          <c:val>
            <c:numRef>
              <c:f>Dashboard!$N$28:$N$30</c:f>
              <c:numCache>
                <c:formatCode>#,##0</c:formatCode>
                <c:ptCount val="2"/>
                <c:pt idx="0">
                  <c:v>2269924</c:v>
                </c:pt>
                <c:pt idx="1">
                  <c:v>3440261</c:v>
                </c:pt>
              </c:numCache>
            </c:numRef>
          </c:val>
          <c:extLst>
            <c:ext xmlns:c16="http://schemas.microsoft.com/office/drawing/2014/chart" uri="{C3380CC4-5D6E-409C-BE32-E72D297353CC}">
              <c16:uniqueId val="{00000000-D389-40E6-800A-E36609A4457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4"/>
      </a:solidFill>
    </a:ln>
    <a:effectLst>
      <a:glow rad="63500">
        <a:schemeClr val="accent4">
          <a:satMod val="175000"/>
          <a:alpha val="40000"/>
        </a:schemeClr>
      </a:glow>
      <a:outerShdw blurRad="50800" dist="38100" dir="18900000" algn="bl" rotWithShape="0">
        <a:prstClr val="black">
          <a:alpha val="40000"/>
        </a:prstClr>
      </a:outerShdw>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lrMapOvr bg1="lt1" tx1="dk1" bg2="lt2" tx2="dk2" accent1="accent1" accent2="accent2" accent3="accent3" accent4="accent4" accent5="accent5" accent6="accent6" hlink="hlink" folHlink="folHlink"/>
  <c:pivotSource>
    <c:name>[Clase 04 - Excel Profesional.New.xlsm]Dashboard!TablaDinámica5</c:name>
    <c:fmtId val="0"/>
  </c:pivotSource>
  <c:chart>
    <c:autoTitleDeleted val="1"/>
    <c:pivotFmts>
      <c:pivotFmt>
        <c:idx val="0"/>
        <c:spPr>
          <a:pattFill prst="ltUpDiag">
            <a:fgClr>
              <a:schemeClr val="accent4"/>
            </a:fgClr>
            <a:bgClr>
              <a:schemeClr val="lt1"/>
            </a:bgClr>
          </a:pattFill>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Dashboard!$N$36</c:f>
              <c:strCache>
                <c:ptCount val="1"/>
                <c:pt idx="0">
                  <c:v>Total</c:v>
                </c:pt>
              </c:strCache>
            </c:strRef>
          </c:tx>
          <c:spPr>
            <a:ln w="34925" cap="rnd">
              <a:solidFill>
                <a:schemeClr val="lt1"/>
              </a:solidFill>
              <a:round/>
            </a:ln>
            <a:effectLst>
              <a:outerShdw dist="25400" dir="2700000" algn="tl" rotWithShape="0">
                <a:schemeClr val="accent4"/>
              </a:outerShdw>
            </a:effectLst>
          </c:spPr>
          <c:marker>
            <c:symbol val="circle"/>
            <c:size val="5"/>
            <c:spPr>
              <a:solidFill>
                <a:schemeClr val="accent4"/>
              </a:solidFill>
              <a:ln w="22225">
                <a:solidFill>
                  <a:schemeClr val="lt1"/>
                </a:solidFill>
                <a:round/>
              </a:ln>
              <a:effectLst/>
            </c:spPr>
          </c:marker>
          <c:cat>
            <c:strRef>
              <c:f>Dashboard!$M$37:$M$42</c:f>
              <c:strCache>
                <c:ptCount val="5"/>
                <c:pt idx="0">
                  <c:v>Cliente 10</c:v>
                </c:pt>
                <c:pt idx="1">
                  <c:v>Cliente 13</c:v>
                </c:pt>
                <c:pt idx="2">
                  <c:v>Cliente 4</c:v>
                </c:pt>
                <c:pt idx="3">
                  <c:v>Cliente 7</c:v>
                </c:pt>
                <c:pt idx="4">
                  <c:v>Cliente 9</c:v>
                </c:pt>
              </c:strCache>
            </c:strRef>
          </c:cat>
          <c:val>
            <c:numRef>
              <c:f>Dashboard!$N$37:$N$42</c:f>
              <c:numCache>
                <c:formatCode>#,##0</c:formatCode>
                <c:ptCount val="5"/>
                <c:pt idx="0">
                  <c:v>207078</c:v>
                </c:pt>
                <c:pt idx="1">
                  <c:v>194779</c:v>
                </c:pt>
                <c:pt idx="2">
                  <c:v>167079</c:v>
                </c:pt>
                <c:pt idx="3">
                  <c:v>189845</c:v>
                </c:pt>
                <c:pt idx="4">
                  <c:v>180867</c:v>
                </c:pt>
              </c:numCache>
            </c:numRef>
          </c:val>
          <c:smooth val="0"/>
          <c:extLst>
            <c:ext xmlns:c16="http://schemas.microsoft.com/office/drawing/2014/chart" uri="{C3380CC4-5D6E-409C-BE32-E72D297353CC}">
              <c16:uniqueId val="{00000000-F965-499E-8538-8DAC681F8C74}"/>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07784208"/>
        <c:axId val="1390179344"/>
      </c:lineChart>
      <c:catAx>
        <c:axId val="160778420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PE"/>
          </a:p>
        </c:txPr>
        <c:crossAx val="1390179344"/>
        <c:crosses val="autoZero"/>
        <c:auto val="1"/>
        <c:lblAlgn val="ctr"/>
        <c:lblOffset val="100"/>
        <c:noMultiLvlLbl val="0"/>
      </c:catAx>
      <c:valAx>
        <c:axId val="13901793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PE"/>
          </a:p>
        </c:txPr>
        <c:crossAx val="1607784208"/>
        <c:crosses val="autoZero"/>
        <c:crossBetween val="between"/>
      </c:valAx>
      <c:spPr>
        <a:noFill/>
        <a:ln>
          <a:noFill/>
        </a:ln>
        <a:effectLst/>
      </c:spPr>
    </c:plotArea>
    <c:plotVisOnly val="1"/>
    <c:dispBlanksAs val="gap"/>
    <c:showDLblsOverMax val="0"/>
    <c:extLst/>
  </c:chart>
  <c:spPr>
    <a:gradFill flip="none" rotWithShape="1">
      <a:gsLst>
        <a:gs pos="0">
          <a:schemeClr val="accent4"/>
        </a:gs>
        <a:gs pos="97000">
          <a:schemeClr val="accent4">
            <a:lumMod val="75000"/>
          </a:schemeClr>
        </a:gs>
      </a:gsLst>
      <a:path path="circle">
        <a:fillToRect l="50000" t="50000" r="50000" b="50000"/>
      </a:path>
      <a:tileRect/>
    </a:gradFill>
    <a:ln w="9525" cap="flat" cmpd="sng" algn="ctr">
      <a:solidFill>
        <a:schemeClr val="accent4"/>
      </a:solidFill>
      <a:round/>
    </a:ln>
    <a:effectLst>
      <a:glow rad="63500">
        <a:schemeClr val="accent4">
          <a:satMod val="175000"/>
          <a:alpha val="40000"/>
        </a:schemeClr>
      </a:glow>
      <a:outerShdw blurRad="50800" dist="38100" dir="18900000" algn="bl" rotWithShape="0">
        <a:prstClr val="black">
          <a:alpha val="40000"/>
        </a:prstClr>
      </a:outerShdw>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B$9" fmlaRange="$J$6:$J$17" noThreeD="1" sel="6" val="4"/>
</file>

<file path=xl/ctrlProps/ctrlProp2.xml><?xml version="1.0" encoding="utf-8"?>
<formControlPr xmlns="http://schemas.microsoft.com/office/spreadsheetml/2009/9/main" objectType="Drop" dropStyle="combo" dx="22" fmlaLink="$B$15" fmlaRange="$N$6:$N$30" noThreeD="1" sel="24" val="17"/>
</file>

<file path=xl/ctrlProps/ctrlProp3.xml><?xml version="1.0" encoding="utf-8"?>
<formControlPr xmlns="http://schemas.microsoft.com/office/spreadsheetml/2009/9/main" objectType="Drop" dropStyle="combo" dx="22" fmlaLink="$B$20" fmlaRange="$R$6:$R$25" noThreeD="1" sel="5" val="4"/>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B$32"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E$32"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76200</xdr:colOff>
      <xdr:row>6</xdr:row>
      <xdr:rowOff>47625</xdr:rowOff>
    </xdr:from>
    <xdr:to>
      <xdr:col>12</xdr:col>
      <xdr:colOff>571500</xdr:colOff>
      <xdr:row>16</xdr:row>
      <xdr:rowOff>85725</xdr:rowOff>
    </xdr:to>
    <xdr:sp macro="" textlink="">
      <xdr:nvSpPr>
        <xdr:cNvPr id="2" name="2 CuadroTexto">
          <a:extLst>
            <a:ext uri="{FF2B5EF4-FFF2-40B4-BE49-F238E27FC236}">
              <a16:creationId xmlns:a16="http://schemas.microsoft.com/office/drawing/2014/main" id="{00000000-0008-0000-0000-000002000000}"/>
            </a:ext>
          </a:extLst>
        </xdr:cNvPr>
        <xdr:cNvSpPr txBox="1"/>
      </xdr:nvSpPr>
      <xdr:spPr>
        <a:xfrm>
          <a:off x="2362200" y="1190625"/>
          <a:ext cx="735330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s-PE" sz="2000">
            <a:solidFill>
              <a:schemeClr val="dk1"/>
            </a:solidFill>
            <a:latin typeface="+mn-lt"/>
            <a:ea typeface="+mn-ea"/>
            <a:cs typeface="+mn-cs"/>
          </a:endParaRPr>
        </a:p>
        <a:p>
          <a:r>
            <a:rPr lang="es-PE" sz="2000">
              <a:solidFill>
                <a:schemeClr val="dk1"/>
              </a:solidFill>
              <a:latin typeface="+mn-lt"/>
              <a:ea typeface="+mn-ea"/>
              <a:cs typeface="+mn-cs"/>
            </a:rPr>
            <a:t>Si una persona es perseverante, aunque sea dura de entendimiento,</a:t>
          </a:r>
          <a:endParaRPr lang="es-PE" sz="2000"/>
        </a:p>
        <a:p>
          <a:r>
            <a:rPr lang="es-PE" sz="2000">
              <a:solidFill>
                <a:schemeClr val="dk1"/>
              </a:solidFill>
              <a:latin typeface="+mn-lt"/>
              <a:ea typeface="+mn-ea"/>
              <a:cs typeface="+mn-cs"/>
            </a:rPr>
            <a:t>se hará inteligente; y aunque sea débil se transformará en fuerte.</a:t>
          </a:r>
          <a:endParaRPr lang="es-PE" sz="2000"/>
        </a:p>
        <a:p>
          <a:r>
            <a:rPr lang="es-PE" sz="2000">
              <a:solidFill>
                <a:schemeClr val="dk1"/>
              </a:solidFill>
              <a:latin typeface="+mn-lt"/>
              <a:ea typeface="+mn-ea"/>
              <a:cs typeface="+mn-cs"/>
            </a:rPr>
            <a:t>			(Leonardo Da Vinci )</a:t>
          </a:r>
          <a:endParaRPr lang="es-PE" sz="2000"/>
        </a:p>
        <a:p>
          <a:endParaRPr lang="es-PE"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7</xdr:row>
      <xdr:rowOff>95250</xdr:rowOff>
    </xdr:from>
    <xdr:to>
      <xdr:col>8</xdr:col>
      <xdr:colOff>304800</xdr:colOff>
      <xdr:row>12</xdr:row>
      <xdr:rowOff>111733</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238124" y="1428750"/>
          <a:ext cx="6438901" cy="96898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1400" b="1">
              <a:solidFill>
                <a:sysClr val="windowText" lastClr="000000"/>
              </a:solidFill>
            </a:rPr>
            <a:t>Ante la necesidad de las empresas por ser competitivas en el mercado en el cual se desenvuelven, es necesario que sus ejecutivos conozcan las herramientas de Microsoft Excel que les permita mejorar su productividad, y</a:t>
          </a:r>
          <a:r>
            <a:rPr lang="es-PE" sz="1400" b="1" baseline="0">
              <a:solidFill>
                <a:sysClr val="windowText" lastClr="000000"/>
              </a:solidFill>
            </a:rPr>
            <a:t> </a:t>
          </a:r>
          <a:r>
            <a:rPr lang="es-PE" sz="1400" b="1">
              <a:solidFill>
                <a:sysClr val="windowText" lastClr="000000"/>
              </a:solidFill>
            </a:rPr>
            <a:t>ser más eficiente en su centro de trabajo.</a:t>
          </a:r>
        </a:p>
      </xdr:txBody>
    </xdr:sp>
    <xdr:clientData/>
  </xdr:twoCellAnchor>
  <xdr:twoCellAnchor>
    <xdr:from>
      <xdr:col>0</xdr:col>
      <xdr:colOff>104772</xdr:colOff>
      <xdr:row>0</xdr:row>
      <xdr:rowOff>133350</xdr:rowOff>
    </xdr:from>
    <xdr:to>
      <xdr:col>6</xdr:col>
      <xdr:colOff>447675</xdr:colOff>
      <xdr:row>7</xdr:row>
      <xdr:rowOff>19286</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4772" y="133350"/>
          <a:ext cx="4914903" cy="121943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PE" sz="3600" b="1" u="none" baseline="0">
              <a:solidFill>
                <a:schemeClr val="tx2"/>
              </a:solidFill>
            </a:rPr>
            <a:t>Curso: </a:t>
          </a:r>
        </a:p>
        <a:p>
          <a:r>
            <a:rPr lang="es-PE" sz="3600" b="1" u="none" baseline="0">
              <a:solidFill>
                <a:schemeClr val="tx2"/>
              </a:solidFill>
            </a:rPr>
            <a:t>MS Excel Profesional</a:t>
          </a:r>
          <a:endParaRPr lang="es-PE" sz="3600" b="1" u="none">
            <a:solidFill>
              <a:schemeClr val="tx2"/>
            </a:solidFill>
          </a:endParaRPr>
        </a:p>
      </xdr:txBody>
    </xdr:sp>
    <xdr:clientData/>
  </xdr:twoCellAnchor>
  <xdr:twoCellAnchor editAs="oneCell">
    <xdr:from>
      <xdr:col>6</xdr:col>
      <xdr:colOff>504826</xdr:colOff>
      <xdr:row>11</xdr:row>
      <xdr:rowOff>186736</xdr:rowOff>
    </xdr:from>
    <xdr:to>
      <xdr:col>8</xdr:col>
      <xdr:colOff>180975</xdr:colOff>
      <xdr:row>19</xdr:row>
      <xdr:rowOff>46413</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53051" y="2282236"/>
          <a:ext cx="1200149" cy="152655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5</xdr:col>
      <xdr:colOff>704850</xdr:colOff>
      <xdr:row>0</xdr:row>
      <xdr:rowOff>104776</xdr:rowOff>
    </xdr:from>
    <xdr:to>
      <xdr:col>7</xdr:col>
      <xdr:colOff>447676</xdr:colOff>
      <xdr:row>7</xdr:row>
      <xdr:rowOff>38102</xdr:rowOff>
    </xdr:to>
    <xdr:pic>
      <xdr:nvPicPr>
        <xdr:cNvPr id="5" name="Imagen 4" descr="Business Analytics with Excel: Elementary to Advanced | Coursera">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91075" y="104776"/>
          <a:ext cx="1266826" cy="12668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142875</xdr:colOff>
      <xdr:row>0</xdr:row>
      <xdr:rowOff>161925</xdr:rowOff>
    </xdr:from>
    <xdr:to>
      <xdr:col>15</xdr:col>
      <xdr:colOff>307316</xdr:colOff>
      <xdr:row>19</xdr:row>
      <xdr:rowOff>66675</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77100" y="161925"/>
          <a:ext cx="4736441" cy="3667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600075</xdr:colOff>
      <xdr:row>0</xdr:row>
      <xdr:rowOff>76200</xdr:rowOff>
    </xdr:from>
    <xdr:to>
      <xdr:col>12</xdr:col>
      <xdr:colOff>1056826</xdr:colOff>
      <xdr:row>11</xdr:row>
      <xdr:rowOff>142652</xdr:rowOff>
    </xdr:to>
    <xdr:pic>
      <xdr:nvPicPr>
        <xdr:cNvPr id="2" name="Imagen 1" descr="Interfaz de usuario gráfica, Texto, Aplicación&#10;&#10;Descripción generada automáticamente">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191500" y="76200"/>
          <a:ext cx="3590476" cy="17809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16</xdr:col>
      <xdr:colOff>726281</xdr:colOff>
      <xdr:row>0</xdr:row>
      <xdr:rowOff>0</xdr:rowOff>
    </xdr:from>
    <xdr:to>
      <xdr:col>39</xdr:col>
      <xdr:colOff>428625</xdr:colOff>
      <xdr:row>39</xdr:row>
      <xdr:rowOff>0</xdr:rowOff>
    </xdr:to>
    <xdr:sp macro="" textlink="">
      <xdr:nvSpPr>
        <xdr:cNvPr id="2" name="Rectángulo 1">
          <a:extLst>
            <a:ext uri="{FF2B5EF4-FFF2-40B4-BE49-F238E27FC236}">
              <a16:creationId xmlns:a16="http://schemas.microsoft.com/office/drawing/2014/main" id="{00000000-0008-0000-0300-000002000000}"/>
            </a:ext>
          </a:extLst>
        </xdr:cNvPr>
        <xdr:cNvSpPr/>
      </xdr:nvSpPr>
      <xdr:spPr>
        <a:xfrm>
          <a:off x="13835062" y="0"/>
          <a:ext cx="17228344" cy="557212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PE" sz="1100"/>
        </a:p>
      </xdr:txBody>
    </xdr:sp>
    <xdr:clientData/>
  </xdr:twoCellAnchor>
  <xdr:twoCellAnchor>
    <xdr:from>
      <xdr:col>17</xdr:col>
      <xdr:colOff>142875</xdr:colOff>
      <xdr:row>8</xdr:row>
      <xdr:rowOff>45239</xdr:rowOff>
    </xdr:from>
    <xdr:to>
      <xdr:col>37</xdr:col>
      <xdr:colOff>387013</xdr:colOff>
      <xdr:row>21</xdr:row>
      <xdr:rowOff>13064</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14430375" y="1112039"/>
          <a:ext cx="15865138" cy="1701375"/>
          <a:chOff x="14013656" y="950119"/>
          <a:chExt cx="15484138" cy="1825200"/>
        </a:xfrm>
      </xdr:grpSpPr>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19237525" y="950119"/>
          <a:ext cx="5036400" cy="18252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24461394" y="950119"/>
          <a:ext cx="5036400" cy="1825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Rectángulo 4">
            <a:extLst>
              <a:ext uri="{FF2B5EF4-FFF2-40B4-BE49-F238E27FC236}">
                <a16:creationId xmlns:a16="http://schemas.microsoft.com/office/drawing/2014/main" id="{00000000-0008-0000-0300-000005000000}"/>
              </a:ext>
            </a:extLst>
          </xdr:cNvPr>
          <xdr:cNvSpPr/>
        </xdr:nvSpPr>
        <xdr:spPr>
          <a:xfrm>
            <a:off x="14013656" y="950119"/>
            <a:ext cx="5036400" cy="1825200"/>
          </a:xfrm>
          <a:prstGeom prst="rect">
            <a:avLst/>
          </a:prstGeom>
          <a:ln>
            <a:solidFill>
              <a:schemeClr val="accent4"/>
            </a:solidFill>
          </a:ln>
          <a:effectLst>
            <a:glow rad="63500">
              <a:schemeClr val="accent4">
                <a:satMod val="175000"/>
                <a:alpha val="40000"/>
              </a:schemeClr>
            </a:glow>
            <a:outerShdw blurRad="50800" dist="38100" dir="18900000" algn="bl"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PE" sz="1100"/>
          </a:p>
        </xdr:txBody>
      </xdr:sp>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15978188" y="1047749"/>
            <a:ext cx="1404937" cy="34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b="1">
                <a:solidFill>
                  <a:schemeClr val="accent4"/>
                </a:solidFill>
                <a:latin typeface="Cavolini" panose="03000502040302020204" pitchFamily="66" charset="0"/>
                <a:cs typeface="Cavolini" panose="03000502040302020204" pitchFamily="66" charset="0"/>
              </a:rPr>
              <a:t>VENTAS</a:t>
            </a:r>
          </a:p>
        </xdr:txBody>
      </xdr:sp>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15716250" y="1640680"/>
            <a:ext cx="1774031" cy="34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b="1">
                <a:solidFill>
                  <a:schemeClr val="accent4"/>
                </a:solidFill>
                <a:latin typeface="Cavolini" panose="03000502040302020204" pitchFamily="66" charset="0"/>
                <a:cs typeface="Cavolini" panose="03000502040302020204" pitchFamily="66" charset="0"/>
              </a:rPr>
              <a:t>BENEFICIO</a:t>
            </a:r>
          </a:p>
        </xdr:txBody>
      </xdr:sp>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14261307" y="2316955"/>
            <a:ext cx="1774031" cy="34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b="1">
                <a:solidFill>
                  <a:schemeClr val="accent4"/>
                </a:solidFill>
                <a:latin typeface="Cavolini" panose="03000502040302020204" pitchFamily="66" charset="0"/>
                <a:cs typeface="Cavolini" panose="03000502040302020204" pitchFamily="66" charset="0"/>
              </a:rPr>
              <a:t>MARGEN</a:t>
            </a:r>
            <a:r>
              <a:rPr lang="es-PE" sz="2000" b="1" baseline="0">
                <a:solidFill>
                  <a:schemeClr val="accent4"/>
                </a:solidFill>
                <a:latin typeface="Cavolini" panose="03000502040302020204" pitchFamily="66" charset="0"/>
                <a:cs typeface="Cavolini" panose="03000502040302020204" pitchFamily="66" charset="0"/>
              </a:rPr>
              <a:t> %</a:t>
            </a:r>
            <a:endParaRPr lang="es-PE" sz="2000" b="1">
              <a:solidFill>
                <a:schemeClr val="accent4"/>
              </a:solidFill>
              <a:latin typeface="Cavolini" panose="03000502040302020204" pitchFamily="66" charset="0"/>
              <a:cs typeface="Cavolini" panose="03000502040302020204" pitchFamily="66" charset="0"/>
            </a:endParaRPr>
          </a:p>
        </xdr:txBody>
      </xdr:sp>
      <xdr:sp macro="" textlink="$N$4">
        <xdr:nvSpPr>
          <xdr:cNvPr id="9" name="CuadroTexto 8">
            <a:extLst>
              <a:ext uri="{FF2B5EF4-FFF2-40B4-BE49-F238E27FC236}">
                <a16:creationId xmlns:a16="http://schemas.microsoft.com/office/drawing/2014/main" id="{00000000-0008-0000-0300-000009000000}"/>
              </a:ext>
            </a:extLst>
          </xdr:cNvPr>
          <xdr:cNvSpPr txBox="1"/>
        </xdr:nvSpPr>
        <xdr:spPr>
          <a:xfrm>
            <a:off x="15811500" y="1333500"/>
            <a:ext cx="1643062" cy="369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C785FD-B6FB-433E-9B61-E49E40FEA2B6}" type="TxLink">
              <a:rPr lang="en-US" sz="1800" b="1" i="0" u="none" strike="noStrike">
                <a:solidFill>
                  <a:schemeClr val="bg1"/>
                </a:solidFill>
                <a:latin typeface="Calibri"/>
                <a:cs typeface="Calibri"/>
              </a:rPr>
              <a:pPr algn="ctr"/>
              <a:t>S/ 5.710.185</a:t>
            </a:fld>
            <a:endParaRPr lang="es-PE" sz="3200" b="1">
              <a:solidFill>
                <a:schemeClr val="bg1"/>
              </a:solidFill>
            </a:endParaRPr>
          </a:p>
        </xdr:txBody>
      </xdr:sp>
      <xdr:sp macro="" textlink="$O$4">
        <xdr:nvSpPr>
          <xdr:cNvPr id="10" name="CuadroTexto 9">
            <a:extLst>
              <a:ext uri="{FF2B5EF4-FFF2-40B4-BE49-F238E27FC236}">
                <a16:creationId xmlns:a16="http://schemas.microsoft.com/office/drawing/2014/main" id="{00000000-0008-0000-0300-00000A000000}"/>
              </a:ext>
            </a:extLst>
          </xdr:cNvPr>
          <xdr:cNvSpPr txBox="1"/>
        </xdr:nvSpPr>
        <xdr:spPr>
          <a:xfrm>
            <a:off x="15856744" y="1902619"/>
            <a:ext cx="1643062" cy="369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313903-0904-4CC5-9485-1F9717E5F11C}" type="TxLink">
              <a:rPr lang="en-US" sz="1800" b="1" i="0" u="none" strike="noStrike">
                <a:solidFill>
                  <a:schemeClr val="bg1"/>
                </a:solidFill>
                <a:latin typeface="Calibri"/>
                <a:cs typeface="Calibri"/>
              </a:rPr>
              <a:pPr algn="ctr"/>
              <a:t>S/ 1.703.709</a:t>
            </a:fld>
            <a:endParaRPr lang="es-PE" sz="7200" b="1">
              <a:solidFill>
                <a:schemeClr val="bg1"/>
              </a:solidFill>
            </a:endParaRPr>
          </a:p>
        </xdr:txBody>
      </xdr:sp>
      <xdr:sp macro="" textlink="$P$4">
        <xdr:nvSpPr>
          <xdr:cNvPr id="11" name="CuadroTexto 10">
            <a:extLst>
              <a:ext uri="{FF2B5EF4-FFF2-40B4-BE49-F238E27FC236}">
                <a16:creationId xmlns:a16="http://schemas.microsoft.com/office/drawing/2014/main" id="{00000000-0008-0000-0300-00000B000000}"/>
              </a:ext>
            </a:extLst>
          </xdr:cNvPr>
          <xdr:cNvSpPr txBox="1"/>
        </xdr:nvSpPr>
        <xdr:spPr>
          <a:xfrm>
            <a:off x="15842457" y="2293143"/>
            <a:ext cx="1643062" cy="369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871F96-398E-4B11-B8F8-7A3A49EC5A95}" type="TxLink">
              <a:rPr lang="en-US" sz="1800" b="1" i="0" u="none" strike="noStrike">
                <a:solidFill>
                  <a:schemeClr val="bg1"/>
                </a:solidFill>
                <a:latin typeface="Calibri"/>
                <a:cs typeface="Calibri"/>
              </a:rPr>
              <a:pPr algn="ctr"/>
              <a:t>30%</a:t>
            </a:fld>
            <a:endParaRPr lang="es-PE" sz="23900" b="1">
              <a:solidFill>
                <a:schemeClr val="bg1"/>
              </a:solidFill>
            </a:endParaRPr>
          </a:p>
        </xdr:txBody>
      </xdr:sp>
    </xdr:grpSp>
    <xdr:clientData/>
  </xdr:twoCellAnchor>
  <xdr:twoCellAnchor>
    <xdr:from>
      <xdr:col>17</xdr:col>
      <xdr:colOff>136921</xdr:colOff>
      <xdr:row>22</xdr:row>
      <xdr:rowOff>128587</xdr:rowOff>
    </xdr:from>
    <xdr:to>
      <xdr:col>37</xdr:col>
      <xdr:colOff>398916</xdr:colOff>
      <xdr:row>35</xdr:row>
      <xdr:rowOff>96412</xdr:rowOff>
    </xdr:to>
    <xdr:grpSp>
      <xdr:nvGrpSpPr>
        <xdr:cNvPr id="18" name="Grupo 17">
          <a:extLst>
            <a:ext uri="{FF2B5EF4-FFF2-40B4-BE49-F238E27FC236}">
              <a16:creationId xmlns:a16="http://schemas.microsoft.com/office/drawing/2014/main" id="{00000000-0008-0000-0300-000012000000}"/>
            </a:ext>
          </a:extLst>
        </xdr:cNvPr>
        <xdr:cNvGrpSpPr/>
      </xdr:nvGrpSpPr>
      <xdr:grpSpPr>
        <a:xfrm>
          <a:off x="14424421" y="3062287"/>
          <a:ext cx="15882995" cy="1701375"/>
          <a:chOff x="14007702" y="3212307"/>
          <a:chExt cx="15501995" cy="1825200"/>
        </a:xfrm>
      </xdr:grpSpPr>
      <xdr:graphicFrame macro="">
        <xdr:nvGraphicFramePr>
          <xdr:cNvPr id="13" name="Gráfico 12">
            <a:extLst>
              <a:ext uri="{FF2B5EF4-FFF2-40B4-BE49-F238E27FC236}">
                <a16:creationId xmlns:a16="http://schemas.microsoft.com/office/drawing/2014/main" id="{00000000-0008-0000-0300-00000D000000}"/>
              </a:ext>
            </a:extLst>
          </xdr:cNvPr>
          <xdr:cNvGraphicFramePr/>
        </xdr:nvGraphicFramePr>
        <xdr:xfrm>
          <a:off x="14007702" y="3212307"/>
          <a:ext cx="5036400" cy="1825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6" name="Grupo 15">
            <a:extLst>
              <a:ext uri="{FF2B5EF4-FFF2-40B4-BE49-F238E27FC236}">
                <a16:creationId xmlns:a16="http://schemas.microsoft.com/office/drawing/2014/main" id="{00000000-0008-0000-0300-000010000000}"/>
              </a:ext>
            </a:extLst>
          </xdr:cNvPr>
          <xdr:cNvGrpSpPr/>
        </xdr:nvGrpSpPr>
        <xdr:grpSpPr>
          <a:xfrm>
            <a:off x="19240499" y="3212307"/>
            <a:ext cx="5036400" cy="1825200"/>
            <a:chOff x="19282171" y="3212307"/>
            <a:chExt cx="5036400" cy="1825200"/>
          </a:xfrm>
        </xdr:grpSpPr>
        <xdr:graphicFrame macro="">
          <xdr:nvGraphicFramePr>
            <xdr:cNvPr id="14" name="Gráfico 13">
              <a:extLst>
                <a:ext uri="{FF2B5EF4-FFF2-40B4-BE49-F238E27FC236}">
                  <a16:creationId xmlns:a16="http://schemas.microsoft.com/office/drawing/2014/main" id="{00000000-0008-0000-0300-00000E000000}"/>
                </a:ext>
              </a:extLst>
            </xdr:cNvPr>
            <xdr:cNvGraphicFramePr/>
          </xdr:nvGraphicFramePr>
          <xdr:xfrm>
            <a:off x="19282171" y="3212307"/>
            <a:ext cx="5036400" cy="1825200"/>
          </xdr:xfrm>
          <a:graphic>
            <a:graphicData uri="http://schemas.openxmlformats.org/drawingml/2006/chart">
              <c:chart xmlns:c="http://schemas.openxmlformats.org/drawingml/2006/chart" xmlns:r="http://schemas.openxmlformats.org/officeDocument/2006/relationships" r:id="rId4"/>
            </a:graphicData>
          </a:graphic>
        </xdr:graphicFrame>
        <xdr:sp macro="" textlink="$O$29">
          <xdr:nvSpPr>
            <xdr:cNvPr id="15" name="CuadroTexto 14">
              <a:extLst>
                <a:ext uri="{FF2B5EF4-FFF2-40B4-BE49-F238E27FC236}">
                  <a16:creationId xmlns:a16="http://schemas.microsoft.com/office/drawing/2014/main" id="{00000000-0008-0000-0300-00000F000000}"/>
                </a:ext>
              </a:extLst>
            </xdr:cNvPr>
            <xdr:cNvSpPr txBox="1"/>
          </xdr:nvSpPr>
          <xdr:spPr>
            <a:xfrm>
              <a:off x="21514593" y="3738562"/>
              <a:ext cx="654844" cy="488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95D142-E3F9-4E46-8CFD-A754A58A8C54}" type="TxLink">
                <a:rPr lang="en-US" sz="1800" b="1" i="0" u="none" strike="noStrike">
                  <a:solidFill>
                    <a:schemeClr val="accent4"/>
                  </a:solidFill>
                  <a:latin typeface="Calibri"/>
                  <a:cs typeface="Calibri"/>
                </a:rPr>
                <a:pPr algn="ctr"/>
                <a:t>60%</a:t>
              </a:fld>
              <a:endParaRPr lang="es-PE" sz="3200" b="1">
                <a:solidFill>
                  <a:schemeClr val="accent4"/>
                </a:solidFill>
              </a:endParaRPr>
            </a:p>
          </xdr:txBody>
        </xdr:sp>
      </xdr:grpSp>
      <xdr:graphicFrame macro="">
        <xdr:nvGraphicFramePr>
          <xdr:cNvPr id="17" name="Gráfico 16">
            <a:extLst>
              <a:ext uri="{FF2B5EF4-FFF2-40B4-BE49-F238E27FC236}">
                <a16:creationId xmlns:a16="http://schemas.microsoft.com/office/drawing/2014/main" id="{00000000-0008-0000-0300-000011000000}"/>
              </a:ext>
            </a:extLst>
          </xdr:cNvPr>
          <xdr:cNvGraphicFramePr/>
        </xdr:nvGraphicFramePr>
        <xdr:xfrm>
          <a:off x="24473297" y="3212307"/>
          <a:ext cx="5036400" cy="18252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17</xdr:col>
      <xdr:colOff>154779</xdr:colOff>
      <xdr:row>0</xdr:row>
      <xdr:rowOff>130968</xdr:rowOff>
    </xdr:from>
    <xdr:to>
      <xdr:col>23</xdr:col>
      <xdr:colOff>619179</xdr:colOff>
      <xdr:row>6</xdr:row>
      <xdr:rowOff>107156</xdr:rowOff>
    </xdr:to>
    <xdr:sp macro="" textlink="">
      <xdr:nvSpPr>
        <xdr:cNvPr id="19" name="Rectángulo 18">
          <a:extLst>
            <a:ext uri="{FF2B5EF4-FFF2-40B4-BE49-F238E27FC236}">
              <a16:creationId xmlns:a16="http://schemas.microsoft.com/office/drawing/2014/main" id="{00000000-0008-0000-0300-000013000000}"/>
            </a:ext>
          </a:extLst>
        </xdr:cNvPr>
        <xdr:cNvSpPr/>
      </xdr:nvSpPr>
      <xdr:spPr>
        <a:xfrm>
          <a:off x="14025560" y="130968"/>
          <a:ext cx="5036400" cy="833438"/>
        </a:xfrm>
        <a:prstGeom prst="rect">
          <a:avLst/>
        </a:prstGeom>
        <a:ln>
          <a:solidFill>
            <a:schemeClr val="accent4"/>
          </a:solidFill>
        </a:ln>
        <a:effectLst>
          <a:glow rad="63500">
            <a:schemeClr val="accent4">
              <a:satMod val="175000"/>
              <a:alpha val="40000"/>
            </a:schemeClr>
          </a:glow>
          <a:outerShdw blurRad="50800" dist="38100" dir="18900000" algn="b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s-PE" sz="1100"/>
        </a:p>
      </xdr:txBody>
    </xdr:sp>
    <xdr:clientData/>
  </xdr:twoCellAnchor>
  <xdr:twoCellAnchor>
    <xdr:from>
      <xdr:col>17</xdr:col>
      <xdr:colOff>226218</xdr:colOff>
      <xdr:row>2</xdr:row>
      <xdr:rowOff>47624</xdr:rowOff>
    </xdr:from>
    <xdr:to>
      <xdr:col>23</xdr:col>
      <xdr:colOff>488155</xdr:colOff>
      <xdr:row>5</xdr:row>
      <xdr:rowOff>59531</xdr:rowOff>
    </xdr:to>
    <xdr:sp macro="" textlink="">
      <xdr:nvSpPr>
        <xdr:cNvPr id="20" name="CuadroTexto 19">
          <a:extLst>
            <a:ext uri="{FF2B5EF4-FFF2-40B4-BE49-F238E27FC236}">
              <a16:creationId xmlns:a16="http://schemas.microsoft.com/office/drawing/2014/main" id="{00000000-0008-0000-0300-000014000000}"/>
            </a:ext>
          </a:extLst>
        </xdr:cNvPr>
        <xdr:cNvSpPr txBox="1"/>
      </xdr:nvSpPr>
      <xdr:spPr>
        <a:xfrm>
          <a:off x="14096999" y="333374"/>
          <a:ext cx="4833937" cy="440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200" b="1">
              <a:solidFill>
                <a:schemeClr val="bg1"/>
              </a:solidFill>
              <a:latin typeface="Cavolini" panose="03000502040302020204" pitchFamily="66" charset="0"/>
              <a:cs typeface="Cavolini" panose="03000502040302020204" pitchFamily="66" charset="0"/>
            </a:rPr>
            <a:t>REGISTRO</a:t>
          </a:r>
          <a:r>
            <a:rPr lang="es-PE" sz="3200" b="1" baseline="0">
              <a:solidFill>
                <a:schemeClr val="bg1"/>
              </a:solidFill>
              <a:latin typeface="Cavolini" panose="03000502040302020204" pitchFamily="66" charset="0"/>
              <a:cs typeface="Cavolini" panose="03000502040302020204" pitchFamily="66" charset="0"/>
            </a:rPr>
            <a:t> DE VENTAS</a:t>
          </a:r>
          <a:endParaRPr lang="es-PE" sz="3200" b="1">
            <a:solidFill>
              <a:schemeClr val="bg1"/>
            </a:solidFill>
            <a:latin typeface="Cavolini" panose="03000502040302020204" pitchFamily="66" charset="0"/>
            <a:cs typeface="Cavolini" panose="03000502040302020204" pitchFamily="66" charset="0"/>
          </a:endParaRPr>
        </a:p>
      </xdr:txBody>
    </xdr:sp>
    <xdr:clientData/>
  </xdr:twoCellAnchor>
  <xdr:twoCellAnchor>
    <xdr:from>
      <xdr:col>24</xdr:col>
      <xdr:colOff>464344</xdr:colOff>
      <xdr:row>6</xdr:row>
      <xdr:rowOff>83343</xdr:rowOff>
    </xdr:from>
    <xdr:to>
      <xdr:col>30</xdr:col>
      <xdr:colOff>23813</xdr:colOff>
      <xdr:row>8</xdr:row>
      <xdr:rowOff>23812</xdr:rowOff>
    </xdr:to>
    <xdr:sp macro="" textlink="">
      <xdr:nvSpPr>
        <xdr:cNvPr id="21" name="CuadroTexto 20">
          <a:extLst>
            <a:ext uri="{FF2B5EF4-FFF2-40B4-BE49-F238E27FC236}">
              <a16:creationId xmlns:a16="http://schemas.microsoft.com/office/drawing/2014/main" id="{00000000-0008-0000-0300-000015000000}"/>
            </a:ext>
          </a:extLst>
        </xdr:cNvPr>
        <xdr:cNvSpPr txBox="1"/>
      </xdr:nvSpPr>
      <xdr:spPr>
        <a:xfrm>
          <a:off x="19669125" y="940593"/>
          <a:ext cx="41314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accent4"/>
              </a:solidFill>
              <a:latin typeface="Cavolini" panose="03000502040302020204" pitchFamily="66" charset="0"/>
              <a:cs typeface="Cavolini" panose="03000502040302020204" pitchFamily="66" charset="0"/>
            </a:rPr>
            <a:t>VENTAS</a:t>
          </a:r>
          <a:r>
            <a:rPr lang="es-PE" sz="1600" b="1" baseline="0">
              <a:solidFill>
                <a:schemeClr val="accent4"/>
              </a:solidFill>
              <a:latin typeface="Cavolini" panose="03000502040302020204" pitchFamily="66" charset="0"/>
              <a:cs typeface="Cavolini" panose="03000502040302020204" pitchFamily="66" charset="0"/>
            </a:rPr>
            <a:t> VS BENEFICIO POR LINEA</a:t>
          </a:r>
          <a:endParaRPr lang="es-PE" sz="1600" b="1">
            <a:solidFill>
              <a:schemeClr val="accent4"/>
            </a:solidFill>
            <a:latin typeface="Cavolini" panose="03000502040302020204" pitchFamily="66" charset="0"/>
            <a:cs typeface="Cavolini" panose="03000502040302020204" pitchFamily="66" charset="0"/>
          </a:endParaRPr>
        </a:p>
      </xdr:txBody>
    </xdr:sp>
    <xdr:clientData/>
  </xdr:twoCellAnchor>
  <xdr:twoCellAnchor>
    <xdr:from>
      <xdr:col>31</xdr:col>
      <xdr:colOff>330994</xdr:colOff>
      <xdr:row>6</xdr:row>
      <xdr:rowOff>80962</xdr:rowOff>
    </xdr:from>
    <xdr:to>
      <xdr:col>36</xdr:col>
      <xdr:colOff>652463</xdr:colOff>
      <xdr:row>8</xdr:row>
      <xdr:rowOff>21431</xdr:rowOff>
    </xdr:to>
    <xdr:sp macro="" textlink="">
      <xdr:nvSpPr>
        <xdr:cNvPr id="22" name="CuadroTexto 21">
          <a:extLst>
            <a:ext uri="{FF2B5EF4-FFF2-40B4-BE49-F238E27FC236}">
              <a16:creationId xmlns:a16="http://schemas.microsoft.com/office/drawing/2014/main" id="{00000000-0008-0000-0300-000016000000}"/>
            </a:ext>
          </a:extLst>
        </xdr:cNvPr>
        <xdr:cNvSpPr txBox="1"/>
      </xdr:nvSpPr>
      <xdr:spPr>
        <a:xfrm>
          <a:off x="24869775" y="938212"/>
          <a:ext cx="41314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accent4"/>
              </a:solidFill>
              <a:latin typeface="Cavolini" panose="03000502040302020204" pitchFamily="66" charset="0"/>
              <a:cs typeface="Cavolini" panose="03000502040302020204" pitchFamily="66" charset="0"/>
            </a:rPr>
            <a:t>VENTAS</a:t>
          </a:r>
          <a:r>
            <a:rPr lang="es-PE" sz="1600" b="1" baseline="0">
              <a:solidFill>
                <a:schemeClr val="accent4"/>
              </a:solidFill>
              <a:latin typeface="Cavolini" panose="03000502040302020204" pitchFamily="66" charset="0"/>
              <a:cs typeface="Cavolini" panose="03000502040302020204" pitchFamily="66" charset="0"/>
            </a:rPr>
            <a:t> VS BENEFICIO POR TIPO</a:t>
          </a:r>
          <a:endParaRPr lang="es-PE" sz="1600" b="1">
            <a:solidFill>
              <a:schemeClr val="accent4"/>
            </a:solidFill>
            <a:latin typeface="Cavolini" panose="03000502040302020204" pitchFamily="66" charset="0"/>
            <a:cs typeface="Cavolini" panose="03000502040302020204" pitchFamily="66" charset="0"/>
          </a:endParaRPr>
        </a:p>
      </xdr:txBody>
    </xdr:sp>
    <xdr:clientData/>
  </xdr:twoCellAnchor>
  <xdr:twoCellAnchor>
    <xdr:from>
      <xdr:col>17</xdr:col>
      <xdr:colOff>721520</xdr:colOff>
      <xdr:row>21</xdr:row>
      <xdr:rowOff>42862</xdr:rowOff>
    </xdr:from>
    <xdr:to>
      <xdr:col>23</xdr:col>
      <xdr:colOff>280989</xdr:colOff>
      <xdr:row>22</xdr:row>
      <xdr:rowOff>126206</xdr:rowOff>
    </xdr:to>
    <xdr:sp macro="" textlink="">
      <xdr:nvSpPr>
        <xdr:cNvPr id="23" name="CuadroTexto 22">
          <a:extLst>
            <a:ext uri="{FF2B5EF4-FFF2-40B4-BE49-F238E27FC236}">
              <a16:creationId xmlns:a16="http://schemas.microsoft.com/office/drawing/2014/main" id="{00000000-0008-0000-0300-000017000000}"/>
            </a:ext>
          </a:extLst>
        </xdr:cNvPr>
        <xdr:cNvSpPr txBox="1"/>
      </xdr:nvSpPr>
      <xdr:spPr>
        <a:xfrm>
          <a:off x="14592301" y="3043237"/>
          <a:ext cx="41314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accent4"/>
              </a:solidFill>
              <a:latin typeface="Cavolini" panose="03000502040302020204" pitchFamily="66" charset="0"/>
              <a:cs typeface="Cavolini" panose="03000502040302020204" pitchFamily="66" charset="0"/>
            </a:rPr>
            <a:t>CLIENTES TOP VENTAS</a:t>
          </a:r>
        </a:p>
      </xdr:txBody>
    </xdr:sp>
    <xdr:clientData/>
  </xdr:twoCellAnchor>
  <xdr:twoCellAnchor>
    <xdr:from>
      <xdr:col>24</xdr:col>
      <xdr:colOff>600076</xdr:colOff>
      <xdr:row>21</xdr:row>
      <xdr:rowOff>28574</xdr:rowOff>
    </xdr:from>
    <xdr:to>
      <xdr:col>30</xdr:col>
      <xdr:colOff>159545</xdr:colOff>
      <xdr:row>22</xdr:row>
      <xdr:rowOff>111918</xdr:rowOff>
    </xdr:to>
    <xdr:sp macro="" textlink="">
      <xdr:nvSpPr>
        <xdr:cNvPr id="24" name="CuadroTexto 23">
          <a:extLst>
            <a:ext uri="{FF2B5EF4-FFF2-40B4-BE49-F238E27FC236}">
              <a16:creationId xmlns:a16="http://schemas.microsoft.com/office/drawing/2014/main" id="{00000000-0008-0000-0300-000018000000}"/>
            </a:ext>
          </a:extLst>
        </xdr:cNvPr>
        <xdr:cNvSpPr txBox="1"/>
      </xdr:nvSpPr>
      <xdr:spPr>
        <a:xfrm>
          <a:off x="19804857" y="3028949"/>
          <a:ext cx="41314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accent4"/>
              </a:solidFill>
              <a:latin typeface="Cavolini" panose="03000502040302020204" pitchFamily="66" charset="0"/>
              <a:cs typeface="Cavolini" panose="03000502040302020204" pitchFamily="66" charset="0"/>
            </a:rPr>
            <a:t>FACTURAS POR</a:t>
          </a:r>
          <a:r>
            <a:rPr lang="es-PE" sz="1600" b="1" baseline="0">
              <a:solidFill>
                <a:schemeClr val="accent4"/>
              </a:solidFill>
              <a:latin typeface="Cavolini" panose="03000502040302020204" pitchFamily="66" charset="0"/>
              <a:cs typeface="Cavolini" panose="03000502040302020204" pitchFamily="66" charset="0"/>
            </a:rPr>
            <a:t> COBRAR</a:t>
          </a:r>
          <a:endParaRPr lang="es-PE" sz="1600" b="1">
            <a:solidFill>
              <a:schemeClr val="accent4"/>
            </a:solidFill>
            <a:latin typeface="Cavolini" panose="03000502040302020204" pitchFamily="66" charset="0"/>
            <a:cs typeface="Cavolini" panose="03000502040302020204" pitchFamily="66" charset="0"/>
          </a:endParaRPr>
        </a:p>
      </xdr:txBody>
    </xdr:sp>
    <xdr:clientData/>
  </xdr:twoCellAnchor>
  <xdr:twoCellAnchor>
    <xdr:from>
      <xdr:col>31</xdr:col>
      <xdr:colOff>466726</xdr:colOff>
      <xdr:row>21</xdr:row>
      <xdr:rowOff>26193</xdr:rowOff>
    </xdr:from>
    <xdr:to>
      <xdr:col>37</xdr:col>
      <xdr:colOff>26195</xdr:colOff>
      <xdr:row>22</xdr:row>
      <xdr:rowOff>109537</xdr:rowOff>
    </xdr:to>
    <xdr:sp macro="" textlink="">
      <xdr:nvSpPr>
        <xdr:cNvPr id="25" name="CuadroTexto 24">
          <a:extLst>
            <a:ext uri="{FF2B5EF4-FFF2-40B4-BE49-F238E27FC236}">
              <a16:creationId xmlns:a16="http://schemas.microsoft.com/office/drawing/2014/main" id="{00000000-0008-0000-0300-000019000000}"/>
            </a:ext>
          </a:extLst>
        </xdr:cNvPr>
        <xdr:cNvSpPr txBox="1"/>
      </xdr:nvSpPr>
      <xdr:spPr>
        <a:xfrm>
          <a:off x="25005507" y="3026568"/>
          <a:ext cx="4131469" cy="22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accent4"/>
              </a:solidFill>
              <a:latin typeface="Cavolini" panose="03000502040302020204" pitchFamily="66" charset="0"/>
              <a:cs typeface="Cavolini" panose="03000502040302020204" pitchFamily="66" charset="0"/>
            </a:rPr>
            <a:t>CLIENTES TOP DEUDA</a:t>
          </a:r>
        </a:p>
      </xdr:txBody>
    </xdr:sp>
    <xdr:clientData/>
  </xdr:twoCellAnchor>
  <xdr:twoCellAnchor editAs="oneCell">
    <xdr:from>
      <xdr:col>24</xdr:col>
      <xdr:colOff>100015</xdr:colOff>
      <xdr:row>0</xdr:row>
      <xdr:rowOff>57150</xdr:rowOff>
    </xdr:from>
    <xdr:to>
      <xdr:col>26</xdr:col>
      <xdr:colOff>309565</xdr:colOff>
      <xdr:row>6</xdr:row>
      <xdr:rowOff>67500</xdr:rowOff>
    </xdr:to>
    <mc:AlternateContent xmlns:mc="http://schemas.openxmlformats.org/markup-compatibility/2006" xmlns:a14="http://schemas.microsoft.com/office/drawing/2010/main">
      <mc:Choice Requires="a14">
        <xdr:graphicFrame macro="">
          <xdr:nvGraphicFramePr>
            <xdr:cNvPr id="26" name="Año 1">
              <a:extLst>
                <a:ext uri="{FF2B5EF4-FFF2-40B4-BE49-F238E27FC236}">
                  <a16:creationId xmlns:a16="http://schemas.microsoft.com/office/drawing/2014/main" id="{00000000-0008-0000-0300-00001A000000}"/>
                </a:ext>
              </a:extLst>
            </xdr:cNvPr>
            <xdr:cNvGraphicFramePr/>
          </xdr:nvGraphicFramePr>
          <xdr:xfrm>
            <a:off x="0" y="0"/>
            <a:ext cx="0" cy="0"/>
          </xdr:xfrm>
          <a:graphic>
            <a:graphicData uri="http://schemas.microsoft.com/office/drawing/2010/slicer">
              <sle:slicer xmlns:sle="http://schemas.microsoft.com/office/drawing/2010/slicer" name="Año 1"/>
            </a:graphicData>
          </a:graphic>
        </xdr:graphicFrame>
      </mc:Choice>
      <mc:Fallback xmlns="">
        <xdr:sp macro="" textlink="">
          <xdr:nvSpPr>
            <xdr:cNvPr id="0" name=""/>
            <xdr:cNvSpPr>
              <a:spLocks noTextEdit="1"/>
            </xdr:cNvSpPr>
          </xdr:nvSpPr>
          <xdr:spPr>
            <a:xfrm>
              <a:off x="19554828" y="57150"/>
              <a:ext cx="1733550" cy="8676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26</xdr:col>
      <xdr:colOff>409576</xdr:colOff>
      <xdr:row>0</xdr:row>
      <xdr:rowOff>57150</xdr:rowOff>
    </xdr:from>
    <xdr:to>
      <xdr:col>31</xdr:col>
      <xdr:colOff>642939</xdr:colOff>
      <xdr:row>6</xdr:row>
      <xdr:rowOff>67500</xdr:rowOff>
    </xdr:to>
    <mc:AlternateContent xmlns:mc="http://schemas.openxmlformats.org/markup-compatibility/2006" xmlns:a14="http://schemas.microsoft.com/office/drawing/2010/main">
      <mc:Choice Requires="a14">
        <xdr:graphicFrame macro="">
          <xdr:nvGraphicFramePr>
            <xdr:cNvPr id="27" name="Mes 1">
              <a:extLst>
                <a:ext uri="{FF2B5EF4-FFF2-40B4-BE49-F238E27FC236}">
                  <a16:creationId xmlns:a16="http://schemas.microsoft.com/office/drawing/2014/main" id="{00000000-0008-0000-0300-00001B000000}"/>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21388389" y="57150"/>
              <a:ext cx="4043363" cy="8676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32</xdr:col>
      <xdr:colOff>-1</xdr:colOff>
      <xdr:row>0</xdr:row>
      <xdr:rowOff>57150</xdr:rowOff>
    </xdr:from>
    <xdr:to>
      <xdr:col>37</xdr:col>
      <xdr:colOff>190499</xdr:colOff>
      <xdr:row>6</xdr:row>
      <xdr:rowOff>67500</xdr:rowOff>
    </xdr:to>
    <mc:AlternateContent xmlns:mc="http://schemas.openxmlformats.org/markup-compatibility/2006" xmlns:a14="http://schemas.microsoft.com/office/drawing/2010/main">
      <mc:Choice Requires="a14">
        <xdr:graphicFrame macro="">
          <xdr:nvGraphicFramePr>
            <xdr:cNvPr id="28" name="Nro. Semana">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Nro. Semana"/>
            </a:graphicData>
          </a:graphic>
        </xdr:graphicFrame>
      </mc:Choice>
      <mc:Fallback xmlns="">
        <xdr:sp macro="" textlink="">
          <xdr:nvSpPr>
            <xdr:cNvPr id="0" name=""/>
            <xdr:cNvSpPr>
              <a:spLocks noTextEdit="1"/>
            </xdr:cNvSpPr>
          </xdr:nvSpPr>
          <xdr:spPr>
            <a:xfrm>
              <a:off x="25550812" y="57150"/>
              <a:ext cx="4000500" cy="8676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323849</xdr:colOff>
      <xdr:row>30</xdr:row>
      <xdr:rowOff>114301</xdr:rowOff>
    </xdr:from>
    <xdr:to>
      <xdr:col>15</xdr:col>
      <xdr:colOff>742949</xdr:colOff>
      <xdr:row>34</xdr:row>
      <xdr:rowOff>152401</xdr:rowOff>
    </xdr:to>
    <xdr:sp macro="" textlink="">
      <xdr:nvSpPr>
        <xdr:cNvPr id="2" name="Rectángulo: esquinas redondeadas 1">
          <a:extLst>
            <a:ext uri="{FF2B5EF4-FFF2-40B4-BE49-F238E27FC236}">
              <a16:creationId xmlns:a16="http://schemas.microsoft.com/office/drawing/2014/main" id="{00000000-0008-0000-0600-000002000000}"/>
            </a:ext>
          </a:extLst>
        </xdr:cNvPr>
        <xdr:cNvSpPr/>
      </xdr:nvSpPr>
      <xdr:spPr>
        <a:xfrm>
          <a:off x="323849" y="533401"/>
          <a:ext cx="12087225" cy="8001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DIA.</a:t>
          </a:r>
          <a:r>
            <a:rPr lang="es-PE" sz="1200" b="1" baseline="0">
              <a:solidFill>
                <a:schemeClr val="bg1"/>
              </a:solidFill>
            </a:rPr>
            <a:t>LAB</a:t>
          </a:r>
        </a:p>
        <a:p>
          <a:pPr algn="l"/>
          <a:r>
            <a:rPr lang="es-PE" sz="1200" b="0" i="0">
              <a:solidFill>
                <a:schemeClr val="bg2"/>
              </a:solidFill>
              <a:effectLst/>
              <a:latin typeface="+mn-lt"/>
              <a:ea typeface="+mn-ea"/>
              <a:cs typeface="+mn-cs"/>
            </a:rPr>
            <a:t>Devuelve un número que representa una fecha que es el número de días laborables antes o después de una fecha (la fecha inicial). Los días laborables excluyen los días de fin de semana (sab. y</a:t>
          </a:r>
          <a:r>
            <a:rPr lang="es-PE" sz="1200" b="0" i="0" baseline="0">
              <a:solidFill>
                <a:schemeClr val="bg2"/>
              </a:solidFill>
              <a:effectLst/>
              <a:latin typeface="+mn-lt"/>
              <a:ea typeface="+mn-ea"/>
              <a:cs typeface="+mn-cs"/>
            </a:rPr>
            <a:t> dom.)</a:t>
          </a:r>
          <a:r>
            <a:rPr lang="es-PE" sz="1200" b="0" i="0">
              <a:solidFill>
                <a:schemeClr val="bg2"/>
              </a:solidFill>
              <a:effectLst/>
              <a:latin typeface="+mn-lt"/>
              <a:ea typeface="+mn-ea"/>
              <a:cs typeface="+mn-cs"/>
            </a:rPr>
            <a:t> y cualquier fecha identificada en el argumento festivos. </a:t>
          </a:r>
          <a:r>
            <a:rPr lang="es-PE" sz="1200" b="1" i="0">
              <a:solidFill>
                <a:schemeClr val="bg1"/>
              </a:solidFill>
              <a:effectLst/>
              <a:latin typeface="+mn-lt"/>
              <a:ea typeface="+mn-ea"/>
              <a:cs typeface="+mn-cs"/>
            </a:rPr>
            <a:t>El conteo</a:t>
          </a:r>
          <a:r>
            <a:rPr lang="es-PE" sz="1200" b="1" i="0" baseline="0">
              <a:solidFill>
                <a:schemeClr val="bg1"/>
              </a:solidFill>
              <a:effectLst/>
              <a:latin typeface="+mn-lt"/>
              <a:ea typeface="+mn-ea"/>
              <a:cs typeface="+mn-cs"/>
            </a:rPr>
            <a:t> de los días empieza el siguiente día útil a la fecha inicial.</a:t>
          </a:r>
          <a:endParaRPr lang="es-PE" sz="1200" b="1" i="0">
            <a:solidFill>
              <a:schemeClr val="bg1"/>
            </a:solidFill>
            <a:effectLst/>
            <a:latin typeface="+mn-lt"/>
            <a:ea typeface="+mn-ea"/>
            <a:cs typeface="+mn-cs"/>
          </a:endParaRPr>
        </a:p>
      </xdr:txBody>
    </xdr:sp>
    <xdr:clientData/>
  </xdr:twoCellAnchor>
  <xdr:twoCellAnchor>
    <xdr:from>
      <xdr:col>0</xdr:col>
      <xdr:colOff>323849</xdr:colOff>
      <xdr:row>40</xdr:row>
      <xdr:rowOff>161925</xdr:rowOff>
    </xdr:from>
    <xdr:to>
      <xdr:col>15</xdr:col>
      <xdr:colOff>685799</xdr:colOff>
      <xdr:row>46</xdr:row>
      <xdr:rowOff>66675</xdr:rowOff>
    </xdr:to>
    <xdr:sp macro="" textlink="">
      <xdr:nvSpPr>
        <xdr:cNvPr id="3" name="Rectángulo: esquinas redondeadas 2">
          <a:extLst>
            <a:ext uri="{FF2B5EF4-FFF2-40B4-BE49-F238E27FC236}">
              <a16:creationId xmlns:a16="http://schemas.microsoft.com/office/drawing/2014/main" id="{00000000-0008-0000-0600-000003000000}"/>
            </a:ext>
          </a:extLst>
        </xdr:cNvPr>
        <xdr:cNvSpPr/>
      </xdr:nvSpPr>
      <xdr:spPr>
        <a:xfrm>
          <a:off x="323849" y="2495550"/>
          <a:ext cx="12030075" cy="10477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DIA.LAB.INTL</a:t>
          </a:r>
        </a:p>
        <a:p>
          <a:pPr algn="l"/>
          <a:r>
            <a:rPr lang="es-PE" sz="1200" b="0" i="0">
              <a:solidFill>
                <a:schemeClr val="bg2"/>
              </a:solidFill>
              <a:effectLst/>
              <a:latin typeface="+mn-lt"/>
              <a:ea typeface="+mn-ea"/>
              <a:cs typeface="+mn-cs"/>
            </a:rPr>
            <a:t>Devuelve el número de serie de la fecha que tiene lugar antes o después de un número determinado de días laborables con parámetros de fin de semana personalizados. Los parámetros de fin de semana indican cuáles y cuántos días son días de fin de semana. Los días de fin de semana y cualquier día especificado como festivo no se consideran días laborables. </a:t>
          </a:r>
          <a:r>
            <a:rPr lang="es-PE" sz="1200" b="1" i="0">
              <a:solidFill>
                <a:schemeClr val="lt1"/>
              </a:solidFill>
              <a:effectLst/>
              <a:latin typeface="+mn-lt"/>
              <a:ea typeface="+mn-ea"/>
              <a:cs typeface="+mn-cs"/>
            </a:rPr>
            <a:t>El conteo</a:t>
          </a:r>
          <a:r>
            <a:rPr lang="es-PE" sz="1200" b="1" i="0" baseline="0">
              <a:solidFill>
                <a:schemeClr val="lt1"/>
              </a:solidFill>
              <a:effectLst/>
              <a:latin typeface="+mn-lt"/>
              <a:ea typeface="+mn-ea"/>
              <a:cs typeface="+mn-cs"/>
            </a:rPr>
            <a:t> de los días empieza el siguiente día útil a la fecha inicial.</a:t>
          </a:r>
          <a:endParaRPr lang="es-PE" sz="1200" b="1">
            <a:solidFill>
              <a:schemeClr val="bg2"/>
            </a:solidFill>
          </a:endParaRPr>
        </a:p>
      </xdr:txBody>
    </xdr:sp>
    <xdr:clientData/>
  </xdr:twoCellAnchor>
  <xdr:twoCellAnchor>
    <xdr:from>
      <xdr:col>0</xdr:col>
      <xdr:colOff>361950</xdr:colOff>
      <xdr:row>51</xdr:row>
      <xdr:rowOff>180976</xdr:rowOff>
    </xdr:from>
    <xdr:to>
      <xdr:col>15</xdr:col>
      <xdr:colOff>723900</xdr:colOff>
      <xdr:row>55</xdr:row>
      <xdr:rowOff>9526</xdr:rowOff>
    </xdr:to>
    <xdr:sp macro="" textlink="">
      <xdr:nvSpPr>
        <xdr:cNvPr id="4" name="Rectángulo: esquinas redondeadas 3">
          <a:extLst>
            <a:ext uri="{FF2B5EF4-FFF2-40B4-BE49-F238E27FC236}">
              <a16:creationId xmlns:a16="http://schemas.microsoft.com/office/drawing/2014/main" id="{00000000-0008-0000-0600-000004000000}"/>
            </a:ext>
          </a:extLst>
        </xdr:cNvPr>
        <xdr:cNvSpPr/>
      </xdr:nvSpPr>
      <xdr:spPr>
        <a:xfrm>
          <a:off x="361950" y="4619626"/>
          <a:ext cx="12030075" cy="5905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DIAS</a:t>
          </a:r>
        </a:p>
        <a:p>
          <a:pPr algn="l"/>
          <a:r>
            <a:rPr lang="es-PE" sz="1200" b="0" i="0">
              <a:solidFill>
                <a:schemeClr val="lt1"/>
              </a:solidFill>
              <a:effectLst/>
              <a:latin typeface="+mn-lt"/>
              <a:ea typeface="+mn-ea"/>
              <a:cs typeface="+mn-cs"/>
            </a:rPr>
            <a:t>Devuelve el número de días entre dos fechas</a:t>
          </a:r>
          <a:r>
            <a:rPr lang="es-PE" sz="1200" b="0" i="0" baseline="0">
              <a:solidFill>
                <a:schemeClr val="lt1"/>
              </a:solidFill>
              <a:effectLst/>
              <a:latin typeface="+mn-lt"/>
              <a:ea typeface="+mn-ea"/>
              <a:cs typeface="+mn-cs"/>
            </a:rPr>
            <a:t> considerando fines de semana y feriados.</a:t>
          </a:r>
          <a:endParaRPr lang="es-PE" sz="1400" b="1">
            <a:solidFill>
              <a:schemeClr val="bg2"/>
            </a:solidFill>
          </a:endParaRPr>
        </a:p>
      </xdr:txBody>
    </xdr:sp>
    <xdr:clientData/>
  </xdr:twoCellAnchor>
  <xdr:twoCellAnchor>
    <xdr:from>
      <xdr:col>0</xdr:col>
      <xdr:colOff>361950</xdr:colOff>
      <xdr:row>60</xdr:row>
      <xdr:rowOff>123824</xdr:rowOff>
    </xdr:from>
    <xdr:to>
      <xdr:col>16</xdr:col>
      <xdr:colOff>19050</xdr:colOff>
      <xdr:row>67</xdr:row>
      <xdr:rowOff>142876</xdr:rowOff>
    </xdr:to>
    <xdr:sp macro="" textlink="">
      <xdr:nvSpPr>
        <xdr:cNvPr id="5" name="Rectángulo: esquinas redondeadas 4">
          <a:extLst>
            <a:ext uri="{FF2B5EF4-FFF2-40B4-BE49-F238E27FC236}">
              <a16:creationId xmlns:a16="http://schemas.microsoft.com/office/drawing/2014/main" id="{00000000-0008-0000-0600-000005000000}"/>
            </a:ext>
          </a:extLst>
        </xdr:cNvPr>
        <xdr:cNvSpPr/>
      </xdr:nvSpPr>
      <xdr:spPr>
        <a:xfrm>
          <a:off x="361950" y="6286499"/>
          <a:ext cx="12087225" cy="1352552"/>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DIAS.</a:t>
          </a:r>
          <a:r>
            <a:rPr lang="es-PE" sz="1200" b="1" baseline="0">
              <a:solidFill>
                <a:schemeClr val="bg1"/>
              </a:solidFill>
            </a:rPr>
            <a:t>LAB</a:t>
          </a:r>
        </a:p>
        <a:p>
          <a:pPr algn="l"/>
          <a:r>
            <a:rPr lang="es-PE" sz="1200" b="0" i="0">
              <a:solidFill>
                <a:schemeClr val="lt1"/>
              </a:solidFill>
              <a:effectLst/>
              <a:latin typeface="+mn-lt"/>
              <a:ea typeface="+mn-ea"/>
              <a:cs typeface="+mn-cs"/>
            </a:rPr>
            <a:t>Devuelve el número de días laborables entre fecha_inicial y fecha_final. Los días laborables no incluyen los fines de semana (sab.</a:t>
          </a:r>
          <a:r>
            <a:rPr lang="es-PE" sz="1200" b="0" i="0" baseline="0">
              <a:solidFill>
                <a:schemeClr val="lt1"/>
              </a:solidFill>
              <a:effectLst/>
              <a:latin typeface="+mn-lt"/>
              <a:ea typeface="+mn-ea"/>
              <a:cs typeface="+mn-cs"/>
            </a:rPr>
            <a:t> y dom.)</a:t>
          </a:r>
          <a:r>
            <a:rPr lang="es-PE" sz="1200" b="0" i="0">
              <a:solidFill>
                <a:schemeClr val="lt1"/>
              </a:solidFill>
              <a:effectLst/>
              <a:latin typeface="+mn-lt"/>
              <a:ea typeface="+mn-ea"/>
              <a:cs typeface="+mn-cs"/>
            </a:rPr>
            <a:t> ni otras fechas que se identifiquen en el argumento vacaciones. Use DIAS.LAB para calcular el incremento de los beneficios acumulados de los empleados basándose en el número de días trabajados durante un período específico.</a:t>
          </a:r>
        </a:p>
        <a:p>
          <a:pPr algn="l"/>
          <a:r>
            <a:rPr lang="es-PE" sz="1200" b="1" i="0">
              <a:solidFill>
                <a:schemeClr val="lt1"/>
              </a:solidFill>
              <a:effectLst/>
              <a:latin typeface="+mn-lt"/>
              <a:ea typeface="+mn-ea"/>
              <a:cs typeface="+mn-cs"/>
            </a:rPr>
            <a:t>Fecha inicial dia</a:t>
          </a:r>
          <a:r>
            <a:rPr lang="es-PE" sz="1200" b="1" i="0" baseline="0">
              <a:solidFill>
                <a:schemeClr val="lt1"/>
              </a:solidFill>
              <a:effectLst/>
              <a:latin typeface="+mn-lt"/>
              <a:ea typeface="+mn-ea"/>
              <a:cs typeface="+mn-cs"/>
            </a:rPr>
            <a:t> laborable</a:t>
          </a:r>
          <a:r>
            <a:rPr lang="es-PE" sz="1200" b="1" i="0">
              <a:solidFill>
                <a:schemeClr val="lt1"/>
              </a:solidFill>
              <a:effectLst/>
              <a:latin typeface="+mn-lt"/>
              <a:ea typeface="+mn-ea"/>
              <a:cs typeface="+mn-cs"/>
            </a:rPr>
            <a:t>: </a:t>
          </a:r>
          <a:r>
            <a:rPr lang="es-PE" sz="1200" b="0" i="0">
              <a:solidFill>
                <a:schemeClr val="lt1"/>
              </a:solidFill>
              <a:effectLst/>
              <a:latin typeface="+mn-lt"/>
              <a:ea typeface="+mn-ea"/>
              <a:cs typeface="+mn-cs"/>
            </a:rPr>
            <a:t>El conteo de</a:t>
          </a:r>
          <a:r>
            <a:rPr lang="es-PE" sz="1200" b="0" i="0" baseline="0">
              <a:solidFill>
                <a:schemeClr val="lt1"/>
              </a:solidFill>
              <a:effectLst/>
              <a:latin typeface="+mn-lt"/>
              <a:ea typeface="+mn-ea"/>
              <a:cs typeface="+mn-cs"/>
            </a:rPr>
            <a:t> días empieza el mismo día útil.</a:t>
          </a:r>
        </a:p>
        <a:p>
          <a:pPr algn="l"/>
          <a:r>
            <a:rPr lang="es-PE" sz="1200" b="1" i="0">
              <a:solidFill>
                <a:schemeClr val="lt1"/>
              </a:solidFill>
              <a:effectLst/>
              <a:latin typeface="+mn-lt"/>
              <a:ea typeface="+mn-ea"/>
              <a:cs typeface="+mn-cs"/>
            </a:rPr>
            <a:t>Fecha</a:t>
          </a:r>
          <a:r>
            <a:rPr lang="es-PE" sz="1200" b="1" i="0" baseline="0">
              <a:solidFill>
                <a:schemeClr val="lt1"/>
              </a:solidFill>
              <a:effectLst/>
              <a:latin typeface="+mn-lt"/>
              <a:ea typeface="+mn-ea"/>
              <a:cs typeface="+mn-cs"/>
            </a:rPr>
            <a:t> inicial fin de semana o feriado: </a:t>
          </a:r>
          <a:r>
            <a:rPr lang="es-PE" sz="1200" b="0" i="0" baseline="0">
              <a:solidFill>
                <a:schemeClr val="lt1"/>
              </a:solidFill>
              <a:effectLst/>
              <a:latin typeface="+mn-lt"/>
              <a:ea typeface="+mn-ea"/>
              <a:cs typeface="+mn-cs"/>
            </a:rPr>
            <a:t>El conteo de dias empieza el siguiente día útil.</a:t>
          </a:r>
          <a:endParaRPr lang="es-PE" sz="1400" b="0" i="0">
            <a:solidFill>
              <a:schemeClr val="bg1"/>
            </a:solidFill>
            <a:effectLst/>
            <a:latin typeface="+mn-lt"/>
            <a:ea typeface="+mn-ea"/>
            <a:cs typeface="+mn-cs"/>
          </a:endParaRPr>
        </a:p>
      </xdr:txBody>
    </xdr:sp>
    <xdr:clientData/>
  </xdr:twoCellAnchor>
  <xdr:twoCellAnchor>
    <xdr:from>
      <xdr:col>1</xdr:col>
      <xdr:colOff>38100</xdr:colOff>
      <xdr:row>72</xdr:row>
      <xdr:rowOff>133350</xdr:rowOff>
    </xdr:from>
    <xdr:to>
      <xdr:col>16</xdr:col>
      <xdr:colOff>85725</xdr:colOff>
      <xdr:row>78</xdr:row>
      <xdr:rowOff>142875</xdr:rowOff>
    </xdr:to>
    <xdr:sp macro="" textlink="">
      <xdr:nvSpPr>
        <xdr:cNvPr id="6" name="Rectángulo: esquinas redondeadas 5">
          <a:extLst>
            <a:ext uri="{FF2B5EF4-FFF2-40B4-BE49-F238E27FC236}">
              <a16:creationId xmlns:a16="http://schemas.microsoft.com/office/drawing/2014/main" id="{00000000-0008-0000-0600-000006000000}"/>
            </a:ext>
          </a:extLst>
        </xdr:cNvPr>
        <xdr:cNvSpPr/>
      </xdr:nvSpPr>
      <xdr:spPr>
        <a:xfrm>
          <a:off x="428625" y="8591550"/>
          <a:ext cx="12087225" cy="115252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DIAS.</a:t>
          </a:r>
          <a:r>
            <a:rPr lang="es-PE" sz="1200" b="1" baseline="0">
              <a:solidFill>
                <a:schemeClr val="bg1"/>
              </a:solidFill>
            </a:rPr>
            <a:t>LAB.INTL</a:t>
          </a:r>
        </a:p>
        <a:p>
          <a:pPr algn="l"/>
          <a:r>
            <a:rPr lang="es-PE" sz="1200" b="0" i="0">
              <a:solidFill>
                <a:schemeClr val="lt1"/>
              </a:solidFill>
              <a:effectLst/>
              <a:latin typeface="+mn-lt"/>
              <a:ea typeface="+mn-ea"/>
              <a:cs typeface="+mn-cs"/>
            </a:rPr>
            <a:t>Devuelve el número de todos los días laborables entre dos fechas mediante parámetros para indicar cuáles y cuántos son días de fin de semana. Los días de fin de semana y los días que se especifiquen como días festivos no se consideran días laborables.</a:t>
          </a:r>
        </a:p>
        <a:p>
          <a:pPr algn="l"/>
          <a:r>
            <a:rPr lang="es-PE" sz="1200" b="1" i="0">
              <a:solidFill>
                <a:schemeClr val="lt1"/>
              </a:solidFill>
              <a:effectLst/>
              <a:latin typeface="+mn-lt"/>
              <a:ea typeface="+mn-ea"/>
              <a:cs typeface="+mn-cs"/>
            </a:rPr>
            <a:t>Fecha inicial dia</a:t>
          </a:r>
          <a:r>
            <a:rPr lang="es-PE" sz="1200" b="1" i="0" baseline="0">
              <a:solidFill>
                <a:schemeClr val="lt1"/>
              </a:solidFill>
              <a:effectLst/>
              <a:latin typeface="+mn-lt"/>
              <a:ea typeface="+mn-ea"/>
              <a:cs typeface="+mn-cs"/>
            </a:rPr>
            <a:t> laborable</a:t>
          </a:r>
          <a:r>
            <a:rPr lang="es-PE" sz="1200" b="1" i="0">
              <a:solidFill>
                <a:schemeClr val="lt1"/>
              </a:solidFill>
              <a:effectLst/>
              <a:latin typeface="+mn-lt"/>
              <a:ea typeface="+mn-ea"/>
              <a:cs typeface="+mn-cs"/>
            </a:rPr>
            <a:t>: </a:t>
          </a:r>
          <a:r>
            <a:rPr lang="es-PE" sz="1200" b="0" i="0">
              <a:solidFill>
                <a:schemeClr val="lt1"/>
              </a:solidFill>
              <a:effectLst/>
              <a:latin typeface="+mn-lt"/>
              <a:ea typeface="+mn-ea"/>
              <a:cs typeface="+mn-cs"/>
            </a:rPr>
            <a:t>El conteo de</a:t>
          </a:r>
          <a:r>
            <a:rPr lang="es-PE" sz="1200" b="0" i="0" baseline="0">
              <a:solidFill>
                <a:schemeClr val="lt1"/>
              </a:solidFill>
              <a:effectLst/>
              <a:latin typeface="+mn-lt"/>
              <a:ea typeface="+mn-ea"/>
              <a:cs typeface="+mn-cs"/>
            </a:rPr>
            <a:t> días empieza el mismo día útil.</a:t>
          </a:r>
        </a:p>
        <a:p>
          <a:pPr algn="l"/>
          <a:r>
            <a:rPr lang="es-PE" sz="1200" b="1" i="0">
              <a:solidFill>
                <a:schemeClr val="lt1"/>
              </a:solidFill>
              <a:effectLst/>
              <a:latin typeface="+mn-lt"/>
              <a:ea typeface="+mn-ea"/>
              <a:cs typeface="+mn-cs"/>
            </a:rPr>
            <a:t>Fecha</a:t>
          </a:r>
          <a:r>
            <a:rPr lang="es-PE" sz="1200" b="1" i="0" baseline="0">
              <a:solidFill>
                <a:schemeClr val="lt1"/>
              </a:solidFill>
              <a:effectLst/>
              <a:latin typeface="+mn-lt"/>
              <a:ea typeface="+mn-ea"/>
              <a:cs typeface="+mn-cs"/>
            </a:rPr>
            <a:t> inicial fin de semana o feriado: </a:t>
          </a:r>
          <a:r>
            <a:rPr lang="es-PE" sz="1200" b="0" i="0" baseline="0">
              <a:solidFill>
                <a:schemeClr val="lt1"/>
              </a:solidFill>
              <a:effectLst/>
              <a:latin typeface="+mn-lt"/>
              <a:ea typeface="+mn-ea"/>
              <a:cs typeface="+mn-cs"/>
            </a:rPr>
            <a:t>El conteo de dias empieza el siguiente día útil.</a:t>
          </a:r>
          <a:endParaRPr lang="es-PE" sz="1400" b="0" i="0">
            <a:solidFill>
              <a:schemeClr val="bg1"/>
            </a:solidFill>
            <a:effectLst/>
            <a:latin typeface="+mn-lt"/>
            <a:ea typeface="+mn-ea"/>
            <a:cs typeface="+mn-cs"/>
          </a:endParaRPr>
        </a:p>
      </xdr:txBody>
    </xdr:sp>
    <xdr:clientData/>
  </xdr:twoCellAnchor>
  <xdr:twoCellAnchor>
    <xdr:from>
      <xdr:col>1</xdr:col>
      <xdr:colOff>38100</xdr:colOff>
      <xdr:row>84</xdr:row>
      <xdr:rowOff>38100</xdr:rowOff>
    </xdr:from>
    <xdr:to>
      <xdr:col>16</xdr:col>
      <xdr:colOff>85725</xdr:colOff>
      <xdr:row>87</xdr:row>
      <xdr:rowOff>66675</xdr:rowOff>
    </xdr:to>
    <xdr:sp macro="" textlink="">
      <xdr:nvSpPr>
        <xdr:cNvPr id="7" name="Rectángulo: esquinas redondeadas 6">
          <a:extLst>
            <a:ext uri="{FF2B5EF4-FFF2-40B4-BE49-F238E27FC236}">
              <a16:creationId xmlns:a16="http://schemas.microsoft.com/office/drawing/2014/main" id="{00000000-0008-0000-0600-000007000000}"/>
            </a:ext>
          </a:extLst>
        </xdr:cNvPr>
        <xdr:cNvSpPr/>
      </xdr:nvSpPr>
      <xdr:spPr>
        <a:xfrm>
          <a:off x="428625" y="10791825"/>
          <a:ext cx="12087225" cy="600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FECHA</a:t>
          </a:r>
          <a:endParaRPr lang="es-PE" sz="1200" b="1" baseline="0">
            <a:solidFill>
              <a:schemeClr val="bg1"/>
            </a:solidFill>
          </a:endParaRPr>
        </a:p>
        <a:p>
          <a:pPr algn="l"/>
          <a:r>
            <a:rPr lang="es-PE" sz="1100" b="0" i="0">
              <a:solidFill>
                <a:schemeClr val="lt1"/>
              </a:solidFill>
              <a:effectLst/>
              <a:latin typeface="+mn-lt"/>
              <a:ea typeface="+mn-ea"/>
              <a:cs typeface="+mn-cs"/>
            </a:rPr>
            <a:t>Use la función FECHA de Excel cuando necesite tomar tres valores diferentes y combinarlos para formar una fecha.</a:t>
          </a:r>
        </a:p>
      </xdr:txBody>
    </xdr:sp>
    <xdr:clientData/>
  </xdr:twoCellAnchor>
  <xdr:twoCellAnchor>
    <xdr:from>
      <xdr:col>1</xdr:col>
      <xdr:colOff>114300</xdr:colOff>
      <xdr:row>94</xdr:row>
      <xdr:rowOff>38100</xdr:rowOff>
    </xdr:from>
    <xdr:to>
      <xdr:col>16</xdr:col>
      <xdr:colOff>161925</xdr:colOff>
      <xdr:row>98</xdr:row>
      <xdr:rowOff>28575</xdr:rowOff>
    </xdr:to>
    <xdr:sp macro="" textlink="">
      <xdr:nvSpPr>
        <xdr:cNvPr id="8" name="Rectángulo: esquinas redondeadas 7">
          <a:extLst>
            <a:ext uri="{FF2B5EF4-FFF2-40B4-BE49-F238E27FC236}">
              <a16:creationId xmlns:a16="http://schemas.microsoft.com/office/drawing/2014/main" id="{00000000-0008-0000-0600-000008000000}"/>
            </a:ext>
          </a:extLst>
        </xdr:cNvPr>
        <xdr:cNvSpPr/>
      </xdr:nvSpPr>
      <xdr:spPr>
        <a:xfrm>
          <a:off x="504825" y="12706350"/>
          <a:ext cx="12087225" cy="7524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FECHA.MES</a:t>
          </a:r>
          <a:endParaRPr lang="es-PE" sz="1200" b="1" baseline="0">
            <a:solidFill>
              <a:schemeClr val="bg1"/>
            </a:solidFill>
          </a:endParaRPr>
        </a:p>
        <a:p>
          <a:pPr algn="l"/>
          <a:r>
            <a:rPr lang="es-PE" sz="1100" b="0" i="0">
              <a:solidFill>
                <a:schemeClr val="lt1"/>
              </a:solidFill>
              <a:effectLst/>
              <a:latin typeface="+mn-lt"/>
              <a:ea typeface="+mn-ea"/>
              <a:cs typeface="+mn-cs"/>
            </a:rPr>
            <a:t>Devuelve el número de serie que representa la fecha que indica el número de meses anteriores o posteriores a la fecha especificada (argumento fecha_inicial). </a:t>
          </a:r>
        </a:p>
        <a:p>
          <a:pPr algn="l"/>
          <a:r>
            <a:rPr lang="es-PE" sz="1100" b="0" i="0">
              <a:solidFill>
                <a:schemeClr val="lt1"/>
              </a:solidFill>
              <a:effectLst/>
              <a:latin typeface="+mn-lt"/>
              <a:ea typeface="+mn-ea"/>
              <a:cs typeface="+mn-cs"/>
            </a:rPr>
            <a:t>Use FECHA.MES para calcular las fechas de vencimiento que coinciden con la fecha de emisión.</a:t>
          </a:r>
        </a:p>
      </xdr:txBody>
    </xdr:sp>
    <xdr:clientData/>
  </xdr:twoCellAnchor>
  <xdr:twoCellAnchor>
    <xdr:from>
      <xdr:col>1</xdr:col>
      <xdr:colOff>180975</xdr:colOff>
      <xdr:row>104</xdr:row>
      <xdr:rowOff>9525</xdr:rowOff>
    </xdr:from>
    <xdr:to>
      <xdr:col>16</xdr:col>
      <xdr:colOff>228600</xdr:colOff>
      <xdr:row>108</xdr:row>
      <xdr:rowOff>0</xdr:rowOff>
    </xdr:to>
    <xdr:sp macro="" textlink="">
      <xdr:nvSpPr>
        <xdr:cNvPr id="9" name="Rectángulo: esquinas redondeadas 8">
          <a:extLst>
            <a:ext uri="{FF2B5EF4-FFF2-40B4-BE49-F238E27FC236}">
              <a16:creationId xmlns:a16="http://schemas.microsoft.com/office/drawing/2014/main" id="{00000000-0008-0000-0600-000009000000}"/>
            </a:ext>
          </a:extLst>
        </xdr:cNvPr>
        <xdr:cNvSpPr/>
      </xdr:nvSpPr>
      <xdr:spPr>
        <a:xfrm>
          <a:off x="571500" y="14592300"/>
          <a:ext cx="12087225" cy="7524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baseline="0">
              <a:solidFill>
                <a:schemeClr val="bg1"/>
              </a:solidFill>
            </a:rPr>
            <a:t>HORA</a:t>
          </a:r>
        </a:p>
        <a:p>
          <a:pPr algn="l"/>
          <a:r>
            <a:rPr lang="es-PE" sz="1200" b="1" baseline="0">
              <a:solidFill>
                <a:schemeClr val="bg1"/>
              </a:solidFill>
            </a:rPr>
            <a:t>MINUTO</a:t>
          </a:r>
        </a:p>
        <a:p>
          <a:pPr algn="l"/>
          <a:r>
            <a:rPr lang="es-PE" sz="1200" b="1" baseline="0">
              <a:solidFill>
                <a:schemeClr val="bg1"/>
              </a:solidFill>
            </a:rPr>
            <a:t>SEGUNDO</a:t>
          </a:r>
        </a:p>
      </xdr:txBody>
    </xdr:sp>
    <xdr:clientData/>
  </xdr:twoCellAnchor>
  <xdr:twoCellAnchor>
    <xdr:from>
      <xdr:col>1</xdr:col>
      <xdr:colOff>200025</xdr:colOff>
      <xdr:row>115</xdr:row>
      <xdr:rowOff>28575</xdr:rowOff>
    </xdr:from>
    <xdr:to>
      <xdr:col>16</xdr:col>
      <xdr:colOff>247650</xdr:colOff>
      <xdr:row>118</xdr:row>
      <xdr:rowOff>57150</xdr:rowOff>
    </xdr:to>
    <xdr:sp macro="" textlink="">
      <xdr:nvSpPr>
        <xdr:cNvPr id="10" name="Rectángulo: esquinas redondeadas 9">
          <a:extLst>
            <a:ext uri="{FF2B5EF4-FFF2-40B4-BE49-F238E27FC236}">
              <a16:creationId xmlns:a16="http://schemas.microsoft.com/office/drawing/2014/main" id="{00000000-0008-0000-0600-00000A000000}"/>
            </a:ext>
          </a:extLst>
        </xdr:cNvPr>
        <xdr:cNvSpPr/>
      </xdr:nvSpPr>
      <xdr:spPr>
        <a:xfrm>
          <a:off x="590550" y="16716375"/>
          <a:ext cx="12087225" cy="600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PE" sz="1200" b="1">
              <a:solidFill>
                <a:schemeClr val="bg1"/>
              </a:solidFill>
            </a:rPr>
            <a:t>NSHORA</a:t>
          </a:r>
          <a:endParaRPr lang="es-PE" sz="1200" b="1" baseline="0">
            <a:solidFill>
              <a:schemeClr val="bg1"/>
            </a:solidFill>
          </a:endParaRPr>
        </a:p>
        <a:p>
          <a:pPr algn="l"/>
          <a:r>
            <a:rPr lang="es-PE" sz="1100" b="0" i="0">
              <a:solidFill>
                <a:schemeClr val="lt1"/>
              </a:solidFill>
              <a:effectLst/>
              <a:latin typeface="+mn-lt"/>
              <a:ea typeface="+mn-ea"/>
              <a:cs typeface="+mn-cs"/>
            </a:rPr>
            <a:t>Use la función </a:t>
          </a:r>
          <a:r>
            <a:rPr lang="es-PE" sz="1100" b="1" i="0">
              <a:solidFill>
                <a:schemeClr val="lt1"/>
              </a:solidFill>
              <a:effectLst/>
              <a:latin typeface="+mn-lt"/>
              <a:ea typeface="+mn-ea"/>
              <a:cs typeface="+mn-cs"/>
            </a:rPr>
            <a:t>NSHORA</a:t>
          </a:r>
          <a:r>
            <a:rPr lang="es-PE" sz="1100" b="0" i="0">
              <a:solidFill>
                <a:schemeClr val="lt1"/>
              </a:solidFill>
              <a:effectLst/>
              <a:latin typeface="+mn-lt"/>
              <a:ea typeface="+mn-ea"/>
              <a:cs typeface="+mn-cs"/>
            </a:rPr>
            <a:t> de Excel cuando necesite tomar tres valores diferentes y combinarlos para formar una hora.</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6</xdr:row>
          <xdr:rowOff>0</xdr:rowOff>
        </xdr:from>
        <xdr:to>
          <xdr:col>4</xdr:col>
          <xdr:colOff>312420</xdr:colOff>
          <xdr:row>7</xdr:row>
          <xdr:rowOff>83820</xdr:rowOff>
        </xdr:to>
        <xdr:sp macro="" textlink="">
          <xdr:nvSpPr>
            <xdr:cNvPr id="8193" name="Drop Dow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11</xdr:row>
          <xdr:rowOff>137160</xdr:rowOff>
        </xdr:from>
        <xdr:to>
          <xdr:col>4</xdr:col>
          <xdr:colOff>312420</xdr:colOff>
          <xdr:row>13</xdr:row>
          <xdr:rowOff>99060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822960</xdr:colOff>
          <xdr:row>17</xdr:row>
          <xdr:rowOff>22860</xdr:rowOff>
        </xdr:from>
        <xdr:to>
          <xdr:col>4</xdr:col>
          <xdr:colOff>304800</xdr:colOff>
          <xdr:row>18</xdr:row>
          <xdr:rowOff>99060</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312420</xdr:colOff>
          <xdr:row>23</xdr:row>
          <xdr:rowOff>144780</xdr:rowOff>
        </xdr:from>
        <xdr:to>
          <xdr:col>3</xdr:col>
          <xdr:colOff>160020</xdr:colOff>
          <xdr:row>30</xdr:row>
          <xdr:rowOff>45720</xdr:rowOff>
        </xdr:to>
        <xdr:sp macro="" textlink="">
          <xdr:nvSpPr>
            <xdr:cNvPr id="8196" name="Group Box 4"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s-PE" sz="800" b="0" i="0" u="none" strike="noStrike" baseline="0">
                  <a:solidFill>
                    <a:srgbClr val="000000"/>
                  </a:solidFill>
                  <a:latin typeface="Segoe UI"/>
                  <a:cs typeface="Segoe UI"/>
                </a:rPr>
                <a:t>Genero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25</xdr:row>
          <xdr:rowOff>22860</xdr:rowOff>
        </xdr:from>
        <xdr:to>
          <xdr:col>2</xdr:col>
          <xdr:colOff>365760</xdr:colOff>
          <xdr:row>26</xdr:row>
          <xdr:rowOff>99060</xdr:rowOff>
        </xdr:to>
        <xdr:sp macro="" textlink="">
          <xdr:nvSpPr>
            <xdr:cNvPr id="8199" name="Option Button 7"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Masculino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426720</xdr:colOff>
          <xdr:row>27</xdr:row>
          <xdr:rowOff>38100</xdr:rowOff>
        </xdr:from>
        <xdr:to>
          <xdr:col>2</xdr:col>
          <xdr:colOff>274320</xdr:colOff>
          <xdr:row>28</xdr:row>
          <xdr:rowOff>114300</xdr:rowOff>
        </xdr:to>
        <xdr:sp macro="" textlink="">
          <xdr:nvSpPr>
            <xdr:cNvPr id="8202" name="Option Button 10"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Femenino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23</xdr:row>
          <xdr:rowOff>121920</xdr:rowOff>
        </xdr:from>
        <xdr:to>
          <xdr:col>5</xdr:col>
          <xdr:colOff>731520</xdr:colOff>
          <xdr:row>30</xdr:row>
          <xdr:rowOff>60960</xdr:rowOff>
        </xdr:to>
        <xdr:sp macro="" textlink="">
          <xdr:nvSpPr>
            <xdr:cNvPr id="8203" name="Group Box 11"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s-PE" sz="800" b="0" i="0" u="none" strike="noStrike" baseline="0">
                  <a:solidFill>
                    <a:srgbClr val="000000"/>
                  </a:solidFill>
                  <a:latin typeface="Segoe UI"/>
                  <a:cs typeface="Segoe UI"/>
                </a:rPr>
                <a:t>Estado Civil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xdr:row>
          <xdr:rowOff>45720</xdr:rowOff>
        </xdr:from>
        <xdr:to>
          <xdr:col>5</xdr:col>
          <xdr:colOff>251460</xdr:colOff>
          <xdr:row>25</xdr:row>
          <xdr:rowOff>121920</xdr:rowOff>
        </xdr:to>
        <xdr:sp macro="" textlink="">
          <xdr:nvSpPr>
            <xdr:cNvPr id="8204" name="Option 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Soltero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25</xdr:row>
          <xdr:rowOff>114300</xdr:rowOff>
        </xdr:from>
        <xdr:to>
          <xdr:col>5</xdr:col>
          <xdr:colOff>182880</xdr:colOff>
          <xdr:row>27</xdr:row>
          <xdr:rowOff>45720</xdr:rowOff>
        </xdr:to>
        <xdr:sp macro="" textlink="">
          <xdr:nvSpPr>
            <xdr:cNvPr id="8205" name="Option Button 13"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27</xdr:row>
          <xdr:rowOff>45720</xdr:rowOff>
        </xdr:from>
        <xdr:to>
          <xdr:col>5</xdr:col>
          <xdr:colOff>190500</xdr:colOff>
          <xdr:row>28</xdr:row>
          <xdr:rowOff>121920</xdr:rowOff>
        </xdr:to>
        <xdr:sp macro="" textlink="">
          <xdr:nvSpPr>
            <xdr:cNvPr id="8206" name="Option Button 14"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Viudo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28</xdr:row>
          <xdr:rowOff>106680</xdr:rowOff>
        </xdr:from>
        <xdr:to>
          <xdr:col>5</xdr:col>
          <xdr:colOff>198120</xdr:colOff>
          <xdr:row>30</xdr:row>
          <xdr:rowOff>38100</xdr:rowOff>
        </xdr:to>
        <xdr:sp macro="" textlink="">
          <xdr:nvSpPr>
            <xdr:cNvPr id="8207" name="Option Button 15" hidden="1">
              <a:extLst>
                <a:ext uri="{63B3BB69-23CF-44E3-9099-C40C66FF867C}">
                  <a14:compatExt spid="_x0000_s8207"/>
                </a:ext>
                <a:ext uri="{FF2B5EF4-FFF2-40B4-BE49-F238E27FC236}">
                  <a16:creationId xmlns:a16="http://schemas.microsoft.com/office/drawing/2014/main" id="{00000000-0008-0000-09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PE" sz="800" b="0" i="0" u="none" strike="noStrike" baseline="0">
                  <a:solidFill>
                    <a:srgbClr val="000000"/>
                  </a:solidFill>
                  <a:latin typeface="Segoe UI"/>
                  <a:cs typeface="Segoe UI"/>
                </a:rPr>
                <a:t>Divorciado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257176</xdr:colOff>
      <xdr:row>0</xdr:row>
      <xdr:rowOff>85726</xdr:rowOff>
    </xdr:from>
    <xdr:to>
      <xdr:col>12</xdr:col>
      <xdr:colOff>152401</xdr:colOff>
      <xdr:row>3</xdr:row>
      <xdr:rowOff>0</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8265796" y="85726"/>
          <a:ext cx="695325" cy="508634"/>
          <a:chOff x="7715250" y="85725"/>
          <a:chExt cx="600075" cy="495300"/>
        </a:xfrm>
      </xdr:grpSpPr>
      <xdr:cxnSp macro="">
        <xdr:nvCxnSpPr>
          <xdr:cNvPr id="3" name="Conector recto de flecha 2">
            <a:extLst>
              <a:ext uri="{FF2B5EF4-FFF2-40B4-BE49-F238E27FC236}">
                <a16:creationId xmlns:a16="http://schemas.microsoft.com/office/drawing/2014/main" id="{00000000-0008-0000-0B00-000003000000}"/>
              </a:ext>
            </a:extLst>
          </xdr:cNvPr>
          <xdr:cNvCxnSpPr/>
        </xdr:nvCxnSpPr>
        <xdr:spPr>
          <a:xfrm flipV="1">
            <a:off x="7715250" y="95250"/>
            <a:ext cx="60007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Conector recto de flecha 3">
            <a:extLst>
              <a:ext uri="{FF2B5EF4-FFF2-40B4-BE49-F238E27FC236}">
                <a16:creationId xmlns:a16="http://schemas.microsoft.com/office/drawing/2014/main" id="{00000000-0008-0000-0B00-000004000000}"/>
              </a:ext>
            </a:extLst>
          </xdr:cNvPr>
          <xdr:cNvCxnSpPr/>
        </xdr:nvCxnSpPr>
        <xdr:spPr>
          <a:xfrm>
            <a:off x="7734300" y="85725"/>
            <a:ext cx="9525" cy="4953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761999</xdr:colOff>
      <xdr:row>0</xdr:row>
      <xdr:rowOff>76200</xdr:rowOff>
    </xdr:from>
    <xdr:to>
      <xdr:col>13</xdr:col>
      <xdr:colOff>295274</xdr:colOff>
      <xdr:row>2</xdr:row>
      <xdr:rowOff>85725</xdr:rowOff>
    </xdr:to>
    <xdr:grpSp>
      <xdr:nvGrpSpPr>
        <xdr:cNvPr id="5" name="Grupo 4">
          <a:extLst>
            <a:ext uri="{FF2B5EF4-FFF2-40B4-BE49-F238E27FC236}">
              <a16:creationId xmlns:a16="http://schemas.microsoft.com/office/drawing/2014/main" id="{00000000-0008-0000-0B00-000005000000}"/>
            </a:ext>
          </a:extLst>
        </xdr:cNvPr>
        <xdr:cNvGrpSpPr/>
      </xdr:nvGrpSpPr>
      <xdr:grpSpPr>
        <a:xfrm>
          <a:off x="9570719" y="76200"/>
          <a:ext cx="607695" cy="421005"/>
          <a:chOff x="8877300" y="19050"/>
          <a:chExt cx="390525" cy="400050"/>
        </a:xfrm>
      </xdr:grpSpPr>
      <xdr:cxnSp macro="">
        <xdr:nvCxnSpPr>
          <xdr:cNvPr id="6" name="Conector recto de flecha 5">
            <a:extLst>
              <a:ext uri="{FF2B5EF4-FFF2-40B4-BE49-F238E27FC236}">
                <a16:creationId xmlns:a16="http://schemas.microsoft.com/office/drawing/2014/main" id="{00000000-0008-0000-0B00-000006000000}"/>
              </a:ext>
            </a:extLst>
          </xdr:cNvPr>
          <xdr:cNvCxnSpPr/>
        </xdr:nvCxnSpPr>
        <xdr:spPr>
          <a:xfrm flipH="1">
            <a:off x="8877300" y="409575"/>
            <a:ext cx="390525" cy="952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Conector recto de flecha 6">
            <a:extLst>
              <a:ext uri="{FF2B5EF4-FFF2-40B4-BE49-F238E27FC236}">
                <a16:creationId xmlns:a16="http://schemas.microsoft.com/office/drawing/2014/main" id="{00000000-0008-0000-0B00-000007000000}"/>
              </a:ext>
            </a:extLst>
          </xdr:cNvPr>
          <xdr:cNvCxnSpPr/>
        </xdr:nvCxnSpPr>
        <xdr:spPr>
          <a:xfrm flipV="1">
            <a:off x="9258300" y="19050"/>
            <a:ext cx="0" cy="39052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255.842149768519" createdVersion="8" refreshedVersion="8" minRefreshableVersion="3" recordCount="877" xr:uid="{17B7A76B-A418-4E99-A7A4-11916F8FF273}">
  <cacheSource type="worksheet">
    <worksheetSource name="tbl_dashboard"/>
  </cacheSource>
  <cacheFields count="10">
    <cacheField name="Fecha" numFmtId="14">
      <sharedItems containsSemiMixedTypes="0" containsNonDate="0" containsDate="1" containsString="0" minDate="2019-01-24T00:00:00" maxDate="2022-01-01T00:00:00"/>
    </cacheField>
    <cacheField name="Cliente" numFmtId="0">
      <sharedItems count="51">
        <s v="Cliente 1"/>
        <s v="Cliente 2"/>
        <s v="Cliente 3"/>
        <s v="Cliente 4"/>
        <s v="Cliente 5"/>
        <s v="Cliente 6"/>
        <s v="Cliente 7"/>
        <s v="Cliente 8"/>
        <s v="Cliente 9"/>
        <s v="Cliente 10"/>
        <s v="Cliente 11"/>
        <s v="Cliente 12"/>
        <s v="Cliente 13"/>
        <s v="Cliente 14"/>
        <s v="Cliente 15"/>
        <s v="Cliente 16"/>
        <s v="Cliente 17"/>
        <s v="Cliente 18"/>
        <s v="Cliente 19"/>
        <s v="Cliente 20"/>
        <s v="Cliente 21"/>
        <s v="Cliente 22"/>
        <s v="Cliente 23"/>
        <s v="Cliente 24"/>
        <s v="Cliente 25"/>
        <s v="Cliente 26"/>
        <s v="Cliente 27"/>
        <s v="Cliente 28"/>
        <s v="Cliente 29"/>
        <s v="Cliente 30"/>
        <s v="Cliente 31"/>
        <s v="Cliente 32"/>
        <s v="Cliente 33"/>
        <s v="Cliente 34"/>
        <s v="Cliente 35"/>
        <s v="Cliente 36"/>
        <s v="Cliente 37"/>
        <s v="Cliente 38"/>
        <s v="Cliente 39"/>
        <s v="Cliente 40"/>
        <s v="Cliente 41"/>
        <s v="Cliente 42"/>
        <s v="Cliente 43"/>
        <s v="Cliente 44"/>
        <s v="Cliente 45"/>
        <s v="Cliente 46"/>
        <s v="Cliente 47"/>
        <s v="Cliente 48"/>
        <s v="Cliente 49"/>
        <s v="Cliente 50"/>
        <s v="Cliente 51"/>
      </sharedItems>
    </cacheField>
    <cacheField name="Linea de negocio" numFmtId="0">
      <sharedItems count="3">
        <s v="Formación"/>
        <s v="Servicio"/>
        <s v="InfoProducto"/>
      </sharedItems>
    </cacheField>
    <cacheField name="Tipo Cliente" numFmtId="0">
      <sharedItems count="2">
        <s v="Retenido"/>
        <s v="Nuevo"/>
      </sharedItems>
    </cacheField>
    <cacheField name="Estado" numFmtId="0">
      <sharedItems count="2">
        <s v="Cobrada"/>
        <s v="Pendiente"/>
      </sharedItems>
    </cacheField>
    <cacheField name="Ventas" numFmtId="0">
      <sharedItems containsSemiMixedTypes="0" containsString="0" containsNumber="1" containsInteger="1" minValue="1031" maxValue="11992"/>
    </cacheField>
    <cacheField name="Beneficio" numFmtId="0">
      <sharedItems containsSemiMixedTypes="0" containsString="0" containsNumber="1" minValue="201.45" maxValue="5374.8"/>
    </cacheField>
    <cacheField name="Año" numFmtId="0">
      <sharedItems containsSemiMixedTypes="0" containsString="0" containsNumber="1" containsInteger="1" minValue="2019" maxValue="2021" count="3">
        <n v="2021"/>
        <n v="2020"/>
        <n v="2019"/>
      </sharedItems>
    </cacheField>
    <cacheField name="Mes" numFmtId="0">
      <sharedItems count="12">
        <s v="Enero"/>
        <s v="Febrero"/>
        <s v="Marzo"/>
        <s v="Abril"/>
        <s v="Mayo"/>
        <s v="Junio"/>
        <s v="Julio"/>
        <s v="Agosto"/>
        <s v="Setiembre"/>
        <s v="Octubre"/>
        <s v="Noviembre"/>
        <s v="Diciembre"/>
      </sharedItems>
    </cacheField>
    <cacheField name="Nro. Semana" numFmtId="0">
      <sharedItems containsSemiMixedTypes="0" containsString="0" containsNumber="1" containsInteger="1" minValue="4" maxValue="53" count="28">
        <n v="5"/>
        <n v="4"/>
        <n v="9"/>
        <n v="14"/>
        <n v="13"/>
        <n v="18"/>
        <n v="17"/>
        <n v="23"/>
        <n v="22"/>
        <n v="27"/>
        <n v="26"/>
        <n v="31"/>
        <n v="30"/>
        <n v="36"/>
        <n v="35"/>
        <n v="40"/>
        <n v="39"/>
        <n v="44"/>
        <n v="43"/>
        <n v="49"/>
        <n v="48"/>
        <n v="53"/>
        <n v="52"/>
        <n v="21"/>
        <n v="8"/>
        <n v="12"/>
        <n v="34"/>
        <n v="47"/>
      </sharedItems>
    </cacheField>
  </cacheFields>
  <extLst>
    <ext xmlns:x14="http://schemas.microsoft.com/office/spreadsheetml/2009/9/main" uri="{725AE2AE-9491-48be-B2B4-4EB974FC3084}">
      <x14:pivotCacheDefinition pivotCacheId="6155998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7">
  <r>
    <d v="2021-01-31T00:00:00"/>
    <x v="0"/>
    <x v="0"/>
    <x v="0"/>
    <x v="0"/>
    <n v="9731"/>
    <n v="3016.61"/>
    <x v="0"/>
    <x v="0"/>
    <x v="0"/>
  </r>
  <r>
    <d v="2021-01-31T00:00:00"/>
    <x v="1"/>
    <x v="1"/>
    <x v="1"/>
    <x v="0"/>
    <n v="9142"/>
    <n v="2194.08"/>
    <x v="0"/>
    <x v="0"/>
    <x v="0"/>
  </r>
  <r>
    <d v="2021-01-31T00:00:00"/>
    <x v="2"/>
    <x v="2"/>
    <x v="1"/>
    <x v="1"/>
    <n v="4458"/>
    <n v="847.02"/>
    <x v="0"/>
    <x v="0"/>
    <x v="0"/>
  </r>
  <r>
    <d v="2021-01-31T00:00:00"/>
    <x v="3"/>
    <x v="1"/>
    <x v="0"/>
    <x v="1"/>
    <n v="7882"/>
    <n v="3310.44"/>
    <x v="0"/>
    <x v="0"/>
    <x v="0"/>
  </r>
  <r>
    <d v="2021-01-31T00:00:00"/>
    <x v="4"/>
    <x v="1"/>
    <x v="0"/>
    <x v="0"/>
    <n v="6102"/>
    <n v="915.3"/>
    <x v="0"/>
    <x v="0"/>
    <x v="0"/>
  </r>
  <r>
    <d v="2021-01-31T00:00:00"/>
    <x v="5"/>
    <x v="1"/>
    <x v="0"/>
    <x v="0"/>
    <n v="7832"/>
    <n v="1801.36"/>
    <x v="0"/>
    <x v="0"/>
    <x v="0"/>
  </r>
  <r>
    <d v="2021-01-30T00:00:00"/>
    <x v="6"/>
    <x v="0"/>
    <x v="1"/>
    <x v="1"/>
    <n v="10433"/>
    <n v="4277.53"/>
    <x v="0"/>
    <x v="0"/>
    <x v="0"/>
  </r>
  <r>
    <d v="2021-01-26T00:00:00"/>
    <x v="7"/>
    <x v="1"/>
    <x v="1"/>
    <x v="0"/>
    <n v="5797"/>
    <n v="2028.95"/>
    <x v="0"/>
    <x v="0"/>
    <x v="0"/>
  </r>
  <r>
    <d v="2021-01-25T00:00:00"/>
    <x v="8"/>
    <x v="2"/>
    <x v="1"/>
    <x v="1"/>
    <n v="3957"/>
    <n v="1384.95"/>
    <x v="0"/>
    <x v="0"/>
    <x v="0"/>
  </r>
  <r>
    <d v="2021-01-25T00:00:00"/>
    <x v="9"/>
    <x v="0"/>
    <x v="1"/>
    <x v="1"/>
    <n v="9623"/>
    <n v="3271.82"/>
    <x v="0"/>
    <x v="0"/>
    <x v="0"/>
  </r>
  <r>
    <d v="2021-01-25T00:00:00"/>
    <x v="10"/>
    <x v="1"/>
    <x v="1"/>
    <x v="1"/>
    <n v="9221"/>
    <n v="3780.61"/>
    <x v="0"/>
    <x v="0"/>
    <x v="0"/>
  </r>
  <r>
    <d v="2021-01-25T00:00:00"/>
    <x v="11"/>
    <x v="2"/>
    <x v="1"/>
    <x v="1"/>
    <n v="7301"/>
    <n v="1095.1500000000001"/>
    <x v="0"/>
    <x v="0"/>
    <x v="0"/>
  </r>
  <r>
    <d v="2021-01-24T00:00:00"/>
    <x v="12"/>
    <x v="2"/>
    <x v="1"/>
    <x v="1"/>
    <n v="4257"/>
    <n v="638.54999999999995"/>
    <x v="0"/>
    <x v="0"/>
    <x v="1"/>
  </r>
  <r>
    <d v="2021-01-30T00:00:00"/>
    <x v="13"/>
    <x v="1"/>
    <x v="0"/>
    <x v="0"/>
    <n v="11659"/>
    <n v="3847.47"/>
    <x v="0"/>
    <x v="0"/>
    <x v="0"/>
  </r>
  <r>
    <d v="2021-01-30T00:00:00"/>
    <x v="14"/>
    <x v="1"/>
    <x v="0"/>
    <x v="0"/>
    <n v="4380"/>
    <n v="700.8"/>
    <x v="0"/>
    <x v="0"/>
    <x v="0"/>
  </r>
  <r>
    <d v="2021-01-30T00:00:00"/>
    <x v="15"/>
    <x v="1"/>
    <x v="1"/>
    <x v="1"/>
    <n v="2049"/>
    <n v="614.70000000000005"/>
    <x v="0"/>
    <x v="0"/>
    <x v="0"/>
  </r>
  <r>
    <d v="2021-01-30T00:00:00"/>
    <x v="16"/>
    <x v="0"/>
    <x v="0"/>
    <x v="1"/>
    <n v="3633"/>
    <n v="1380.54"/>
    <x v="0"/>
    <x v="0"/>
    <x v="0"/>
  </r>
  <r>
    <d v="2021-01-30T00:00:00"/>
    <x v="17"/>
    <x v="1"/>
    <x v="1"/>
    <x v="0"/>
    <n v="3347"/>
    <n v="1171.45"/>
    <x v="0"/>
    <x v="0"/>
    <x v="0"/>
  </r>
  <r>
    <d v="2021-01-30T00:00:00"/>
    <x v="18"/>
    <x v="1"/>
    <x v="0"/>
    <x v="0"/>
    <n v="11574"/>
    <n v="2893.5"/>
    <x v="0"/>
    <x v="0"/>
    <x v="0"/>
  </r>
  <r>
    <d v="2021-01-30T00:00:00"/>
    <x v="19"/>
    <x v="2"/>
    <x v="0"/>
    <x v="1"/>
    <n v="11768"/>
    <n v="3059.68"/>
    <x v="0"/>
    <x v="0"/>
    <x v="0"/>
  </r>
  <r>
    <d v="2021-01-26T00:00:00"/>
    <x v="20"/>
    <x v="1"/>
    <x v="1"/>
    <x v="0"/>
    <n v="3678"/>
    <n v="1324.08"/>
    <x v="0"/>
    <x v="0"/>
    <x v="0"/>
  </r>
  <r>
    <d v="2021-01-25T00:00:00"/>
    <x v="21"/>
    <x v="0"/>
    <x v="0"/>
    <x v="1"/>
    <n v="8498"/>
    <n v="3144.26"/>
    <x v="0"/>
    <x v="0"/>
    <x v="0"/>
  </r>
  <r>
    <d v="2021-01-25T00:00:00"/>
    <x v="22"/>
    <x v="0"/>
    <x v="0"/>
    <x v="1"/>
    <n v="6094"/>
    <n v="1157.8599999999999"/>
    <x v="0"/>
    <x v="0"/>
    <x v="0"/>
  </r>
  <r>
    <d v="2021-01-25T00:00:00"/>
    <x v="23"/>
    <x v="0"/>
    <x v="1"/>
    <x v="1"/>
    <n v="11208"/>
    <n v="3698.64"/>
    <x v="0"/>
    <x v="0"/>
    <x v="0"/>
  </r>
  <r>
    <d v="2021-01-25T00:00:00"/>
    <x v="24"/>
    <x v="2"/>
    <x v="0"/>
    <x v="1"/>
    <n v="2430"/>
    <n v="777.6"/>
    <x v="0"/>
    <x v="0"/>
    <x v="0"/>
  </r>
  <r>
    <d v="2021-01-24T00:00:00"/>
    <x v="25"/>
    <x v="0"/>
    <x v="0"/>
    <x v="1"/>
    <n v="10748"/>
    <n v="4406.68"/>
    <x v="0"/>
    <x v="0"/>
    <x v="1"/>
  </r>
  <r>
    <d v="2021-01-31T00:00:00"/>
    <x v="26"/>
    <x v="0"/>
    <x v="0"/>
    <x v="0"/>
    <n v="9609"/>
    <n v="3651.42"/>
    <x v="0"/>
    <x v="0"/>
    <x v="0"/>
  </r>
  <r>
    <d v="2021-01-31T00:00:00"/>
    <x v="27"/>
    <x v="0"/>
    <x v="0"/>
    <x v="0"/>
    <n v="3334"/>
    <n v="1233.58"/>
    <x v="0"/>
    <x v="0"/>
    <x v="0"/>
  </r>
  <r>
    <d v="2021-01-31T00:00:00"/>
    <x v="28"/>
    <x v="0"/>
    <x v="0"/>
    <x v="1"/>
    <n v="11944"/>
    <n v="5374.8"/>
    <x v="0"/>
    <x v="0"/>
    <x v="0"/>
  </r>
  <r>
    <d v="2021-01-31T00:00:00"/>
    <x v="29"/>
    <x v="2"/>
    <x v="0"/>
    <x v="1"/>
    <n v="2224"/>
    <n v="978.56"/>
    <x v="0"/>
    <x v="0"/>
    <x v="0"/>
  </r>
  <r>
    <d v="2021-01-31T00:00:00"/>
    <x v="30"/>
    <x v="2"/>
    <x v="1"/>
    <x v="0"/>
    <n v="7854"/>
    <n v="2827.44"/>
    <x v="0"/>
    <x v="0"/>
    <x v="0"/>
  </r>
  <r>
    <d v="2021-01-31T00:00:00"/>
    <x v="31"/>
    <x v="2"/>
    <x v="1"/>
    <x v="0"/>
    <n v="11564"/>
    <n v="4972.5200000000004"/>
    <x v="0"/>
    <x v="0"/>
    <x v="0"/>
  </r>
  <r>
    <d v="2021-01-30T00:00:00"/>
    <x v="32"/>
    <x v="1"/>
    <x v="1"/>
    <x v="1"/>
    <n v="8933"/>
    <n v="3483.87"/>
    <x v="0"/>
    <x v="0"/>
    <x v="0"/>
  </r>
  <r>
    <d v="2021-01-26T00:00:00"/>
    <x v="33"/>
    <x v="2"/>
    <x v="0"/>
    <x v="0"/>
    <n v="11324"/>
    <n v="4756.08"/>
    <x v="0"/>
    <x v="0"/>
    <x v="0"/>
  </r>
  <r>
    <d v="2021-01-25T00:00:00"/>
    <x v="34"/>
    <x v="0"/>
    <x v="0"/>
    <x v="1"/>
    <n v="1924"/>
    <n v="865.8"/>
    <x v="0"/>
    <x v="0"/>
    <x v="0"/>
  </r>
  <r>
    <d v="2021-01-25T00:00:00"/>
    <x v="35"/>
    <x v="2"/>
    <x v="0"/>
    <x v="1"/>
    <n v="7271"/>
    <n v="2399.4299999999998"/>
    <x v="0"/>
    <x v="0"/>
    <x v="0"/>
  </r>
  <r>
    <d v="2021-01-25T00:00:00"/>
    <x v="36"/>
    <x v="0"/>
    <x v="1"/>
    <x v="1"/>
    <n v="4790"/>
    <n v="1293.3"/>
    <x v="0"/>
    <x v="0"/>
    <x v="0"/>
  </r>
  <r>
    <d v="2021-01-25T00:00:00"/>
    <x v="37"/>
    <x v="0"/>
    <x v="1"/>
    <x v="1"/>
    <n v="9643"/>
    <n v="3278.62"/>
    <x v="0"/>
    <x v="0"/>
    <x v="0"/>
  </r>
  <r>
    <d v="2021-01-24T00:00:00"/>
    <x v="38"/>
    <x v="2"/>
    <x v="1"/>
    <x v="1"/>
    <n v="1894"/>
    <n v="700.78"/>
    <x v="0"/>
    <x v="0"/>
    <x v="1"/>
  </r>
  <r>
    <d v="2021-01-30T00:00:00"/>
    <x v="39"/>
    <x v="0"/>
    <x v="1"/>
    <x v="0"/>
    <n v="5589"/>
    <n v="1285.47"/>
    <x v="0"/>
    <x v="0"/>
    <x v="0"/>
  </r>
  <r>
    <d v="2021-01-30T00:00:00"/>
    <x v="40"/>
    <x v="2"/>
    <x v="1"/>
    <x v="0"/>
    <n v="1031"/>
    <n v="463.95"/>
    <x v="0"/>
    <x v="0"/>
    <x v="0"/>
  </r>
  <r>
    <d v="2021-01-30T00:00:00"/>
    <x v="41"/>
    <x v="2"/>
    <x v="1"/>
    <x v="1"/>
    <n v="4727"/>
    <n v="1087.21"/>
    <x v="0"/>
    <x v="0"/>
    <x v="0"/>
  </r>
  <r>
    <d v="2021-01-30T00:00:00"/>
    <x v="42"/>
    <x v="2"/>
    <x v="0"/>
    <x v="1"/>
    <n v="1365"/>
    <n v="423.15"/>
    <x v="0"/>
    <x v="0"/>
    <x v="0"/>
  </r>
  <r>
    <d v="2021-01-30T00:00:00"/>
    <x v="43"/>
    <x v="2"/>
    <x v="1"/>
    <x v="0"/>
    <n v="1369"/>
    <n v="260.11"/>
    <x v="0"/>
    <x v="0"/>
    <x v="0"/>
  </r>
  <r>
    <d v="2021-01-30T00:00:00"/>
    <x v="44"/>
    <x v="1"/>
    <x v="1"/>
    <x v="0"/>
    <n v="8500"/>
    <n v="2210"/>
    <x v="0"/>
    <x v="0"/>
    <x v="0"/>
  </r>
  <r>
    <d v="2021-01-30T00:00:00"/>
    <x v="45"/>
    <x v="2"/>
    <x v="1"/>
    <x v="1"/>
    <n v="2387"/>
    <n v="954.8"/>
    <x v="0"/>
    <x v="0"/>
    <x v="0"/>
  </r>
  <r>
    <d v="2021-01-26T00:00:00"/>
    <x v="46"/>
    <x v="0"/>
    <x v="0"/>
    <x v="0"/>
    <n v="7916"/>
    <n v="1820.68"/>
    <x v="0"/>
    <x v="0"/>
    <x v="0"/>
  </r>
  <r>
    <d v="2021-01-25T00:00:00"/>
    <x v="47"/>
    <x v="1"/>
    <x v="1"/>
    <x v="1"/>
    <n v="7672"/>
    <n v="1611.12"/>
    <x v="0"/>
    <x v="0"/>
    <x v="0"/>
  </r>
  <r>
    <d v="2021-01-25T00:00:00"/>
    <x v="48"/>
    <x v="2"/>
    <x v="0"/>
    <x v="1"/>
    <n v="7265"/>
    <n v="2688.05"/>
    <x v="0"/>
    <x v="0"/>
    <x v="0"/>
  </r>
  <r>
    <d v="2021-01-25T00:00:00"/>
    <x v="49"/>
    <x v="1"/>
    <x v="0"/>
    <x v="1"/>
    <n v="10729"/>
    <n v="4077.02"/>
    <x v="0"/>
    <x v="0"/>
    <x v="0"/>
  </r>
  <r>
    <d v="2021-01-25T00:00:00"/>
    <x v="50"/>
    <x v="1"/>
    <x v="0"/>
    <x v="1"/>
    <n v="3498"/>
    <n v="1014.42"/>
    <x v="0"/>
    <x v="0"/>
    <x v="0"/>
  </r>
  <r>
    <d v="2021-02-24T00:00:00"/>
    <x v="0"/>
    <x v="1"/>
    <x v="1"/>
    <x v="1"/>
    <n v="2602"/>
    <n v="702.54"/>
    <x v="0"/>
    <x v="1"/>
    <x v="2"/>
  </r>
  <r>
    <d v="2021-02-24T00:00:00"/>
    <x v="1"/>
    <x v="0"/>
    <x v="1"/>
    <x v="0"/>
    <n v="9567"/>
    <n v="3348.45"/>
    <x v="0"/>
    <x v="1"/>
    <x v="2"/>
  </r>
  <r>
    <d v="2021-02-24T00:00:00"/>
    <x v="2"/>
    <x v="1"/>
    <x v="0"/>
    <x v="0"/>
    <n v="10610"/>
    <n v="1591.5"/>
    <x v="0"/>
    <x v="1"/>
    <x v="2"/>
  </r>
  <r>
    <d v="2021-02-24T00:00:00"/>
    <x v="3"/>
    <x v="2"/>
    <x v="1"/>
    <x v="1"/>
    <n v="10303"/>
    <n v="4636.3500000000004"/>
    <x v="0"/>
    <x v="1"/>
    <x v="2"/>
  </r>
  <r>
    <d v="2021-02-24T00:00:00"/>
    <x v="4"/>
    <x v="0"/>
    <x v="1"/>
    <x v="1"/>
    <n v="9287"/>
    <n v="3529.06"/>
    <x v="0"/>
    <x v="1"/>
    <x v="2"/>
  </r>
  <r>
    <d v="2021-02-24T00:00:00"/>
    <x v="5"/>
    <x v="1"/>
    <x v="1"/>
    <x v="0"/>
    <n v="10734"/>
    <n v="1610.1"/>
    <x v="0"/>
    <x v="1"/>
    <x v="2"/>
  </r>
  <r>
    <d v="2021-02-24T00:00:00"/>
    <x v="6"/>
    <x v="2"/>
    <x v="0"/>
    <x v="0"/>
    <n v="11053"/>
    <n v="2210.6"/>
    <x v="0"/>
    <x v="1"/>
    <x v="2"/>
  </r>
  <r>
    <d v="2021-02-24T00:00:00"/>
    <x v="7"/>
    <x v="2"/>
    <x v="0"/>
    <x v="1"/>
    <n v="11900"/>
    <n v="2261"/>
    <x v="0"/>
    <x v="1"/>
    <x v="2"/>
  </r>
  <r>
    <d v="2021-02-24T00:00:00"/>
    <x v="8"/>
    <x v="1"/>
    <x v="1"/>
    <x v="0"/>
    <n v="7909"/>
    <n v="1898.16"/>
    <x v="0"/>
    <x v="1"/>
    <x v="2"/>
  </r>
  <r>
    <d v="2021-02-24T00:00:00"/>
    <x v="9"/>
    <x v="1"/>
    <x v="1"/>
    <x v="1"/>
    <n v="1468"/>
    <n v="528.48"/>
    <x v="0"/>
    <x v="1"/>
    <x v="2"/>
  </r>
  <r>
    <d v="2021-02-24T00:00:00"/>
    <x v="10"/>
    <x v="1"/>
    <x v="0"/>
    <x v="1"/>
    <n v="1782"/>
    <n v="392.04"/>
    <x v="0"/>
    <x v="1"/>
    <x v="2"/>
  </r>
  <r>
    <d v="2021-02-24T00:00:00"/>
    <x v="11"/>
    <x v="0"/>
    <x v="0"/>
    <x v="1"/>
    <n v="8014"/>
    <n v="1362.38"/>
    <x v="0"/>
    <x v="1"/>
    <x v="2"/>
  </r>
  <r>
    <d v="2021-02-24T00:00:00"/>
    <x v="12"/>
    <x v="1"/>
    <x v="0"/>
    <x v="1"/>
    <n v="10593"/>
    <n v="4237.2"/>
    <x v="0"/>
    <x v="1"/>
    <x v="2"/>
  </r>
  <r>
    <d v="2021-02-24T00:00:00"/>
    <x v="13"/>
    <x v="1"/>
    <x v="0"/>
    <x v="1"/>
    <n v="6084"/>
    <n v="1095.1199999999999"/>
    <x v="0"/>
    <x v="1"/>
    <x v="2"/>
  </r>
  <r>
    <d v="2021-02-24T00:00:00"/>
    <x v="14"/>
    <x v="2"/>
    <x v="0"/>
    <x v="0"/>
    <n v="2524"/>
    <n v="631"/>
    <x v="0"/>
    <x v="1"/>
    <x v="2"/>
  </r>
  <r>
    <d v="2021-02-24T00:00:00"/>
    <x v="15"/>
    <x v="1"/>
    <x v="1"/>
    <x v="0"/>
    <n v="4704"/>
    <n v="1552.32"/>
    <x v="0"/>
    <x v="1"/>
    <x v="2"/>
  </r>
  <r>
    <d v="2021-02-24T00:00:00"/>
    <x v="16"/>
    <x v="0"/>
    <x v="0"/>
    <x v="1"/>
    <n v="4705"/>
    <n v="1223.3"/>
    <x v="0"/>
    <x v="1"/>
    <x v="2"/>
  </r>
  <r>
    <d v="2021-02-24T00:00:00"/>
    <x v="17"/>
    <x v="0"/>
    <x v="0"/>
    <x v="1"/>
    <n v="1344"/>
    <n v="268.8"/>
    <x v="0"/>
    <x v="1"/>
    <x v="2"/>
  </r>
  <r>
    <d v="2021-02-24T00:00:00"/>
    <x v="18"/>
    <x v="0"/>
    <x v="1"/>
    <x v="0"/>
    <n v="8373"/>
    <n v="2763.09"/>
    <x v="0"/>
    <x v="1"/>
    <x v="2"/>
  </r>
  <r>
    <d v="2021-02-24T00:00:00"/>
    <x v="19"/>
    <x v="2"/>
    <x v="0"/>
    <x v="0"/>
    <n v="8725"/>
    <n v="3926.25"/>
    <x v="0"/>
    <x v="1"/>
    <x v="2"/>
  </r>
  <r>
    <d v="2021-02-24T00:00:00"/>
    <x v="20"/>
    <x v="0"/>
    <x v="1"/>
    <x v="1"/>
    <n v="2271"/>
    <n v="704.01"/>
    <x v="0"/>
    <x v="1"/>
    <x v="2"/>
  </r>
  <r>
    <d v="2021-02-24T00:00:00"/>
    <x v="21"/>
    <x v="0"/>
    <x v="0"/>
    <x v="0"/>
    <n v="2395"/>
    <n v="407.15"/>
    <x v="0"/>
    <x v="1"/>
    <x v="2"/>
  </r>
  <r>
    <d v="2021-02-24T00:00:00"/>
    <x v="22"/>
    <x v="2"/>
    <x v="0"/>
    <x v="1"/>
    <n v="2923"/>
    <n v="964.59"/>
    <x v="0"/>
    <x v="1"/>
    <x v="2"/>
  </r>
  <r>
    <d v="2021-02-24T00:00:00"/>
    <x v="23"/>
    <x v="0"/>
    <x v="0"/>
    <x v="1"/>
    <n v="9310"/>
    <n v="2513.6999999999998"/>
    <x v="0"/>
    <x v="1"/>
    <x v="2"/>
  </r>
  <r>
    <d v="2021-02-24T00:00:00"/>
    <x v="24"/>
    <x v="2"/>
    <x v="0"/>
    <x v="1"/>
    <n v="3711"/>
    <n v="1187.52"/>
    <x v="0"/>
    <x v="1"/>
    <x v="2"/>
  </r>
  <r>
    <d v="2021-02-24T00:00:00"/>
    <x v="25"/>
    <x v="2"/>
    <x v="1"/>
    <x v="1"/>
    <n v="3495"/>
    <n v="1398"/>
    <x v="0"/>
    <x v="1"/>
    <x v="2"/>
  </r>
  <r>
    <d v="2021-02-24T00:00:00"/>
    <x v="26"/>
    <x v="2"/>
    <x v="0"/>
    <x v="1"/>
    <n v="3336"/>
    <n v="1301.04"/>
    <x v="0"/>
    <x v="1"/>
    <x v="2"/>
  </r>
  <r>
    <d v="2021-02-24T00:00:00"/>
    <x v="27"/>
    <x v="2"/>
    <x v="1"/>
    <x v="0"/>
    <n v="1168"/>
    <n v="490.56"/>
    <x v="0"/>
    <x v="1"/>
    <x v="2"/>
  </r>
  <r>
    <d v="2021-02-24T00:00:00"/>
    <x v="28"/>
    <x v="1"/>
    <x v="0"/>
    <x v="0"/>
    <n v="1490"/>
    <n v="655.6"/>
    <x v="0"/>
    <x v="1"/>
    <x v="2"/>
  </r>
  <r>
    <d v="2021-02-24T00:00:00"/>
    <x v="29"/>
    <x v="2"/>
    <x v="1"/>
    <x v="1"/>
    <n v="4726"/>
    <n v="756.16"/>
    <x v="0"/>
    <x v="1"/>
    <x v="2"/>
  </r>
  <r>
    <d v="2021-02-24T00:00:00"/>
    <x v="30"/>
    <x v="0"/>
    <x v="0"/>
    <x v="1"/>
    <n v="10940"/>
    <n v="2406.8000000000002"/>
    <x v="0"/>
    <x v="1"/>
    <x v="2"/>
  </r>
  <r>
    <d v="2021-02-24T00:00:00"/>
    <x v="31"/>
    <x v="1"/>
    <x v="1"/>
    <x v="0"/>
    <n v="2749"/>
    <n v="769.72"/>
    <x v="0"/>
    <x v="1"/>
    <x v="2"/>
  </r>
  <r>
    <d v="2021-02-24T00:00:00"/>
    <x v="32"/>
    <x v="2"/>
    <x v="0"/>
    <x v="0"/>
    <n v="1771"/>
    <n v="619.85"/>
    <x v="0"/>
    <x v="1"/>
    <x v="2"/>
  </r>
  <r>
    <d v="2021-03-30T00:00:00"/>
    <x v="0"/>
    <x v="1"/>
    <x v="0"/>
    <x v="1"/>
    <n v="4311"/>
    <n v="1681.29"/>
    <x v="0"/>
    <x v="2"/>
    <x v="3"/>
  </r>
  <r>
    <d v="2021-03-26T00:00:00"/>
    <x v="1"/>
    <x v="1"/>
    <x v="1"/>
    <x v="0"/>
    <n v="4502"/>
    <n v="2025.9"/>
    <x v="0"/>
    <x v="2"/>
    <x v="4"/>
  </r>
  <r>
    <d v="2021-03-25T00:00:00"/>
    <x v="2"/>
    <x v="1"/>
    <x v="0"/>
    <x v="1"/>
    <n v="4866"/>
    <n v="1362.48"/>
    <x v="0"/>
    <x v="2"/>
    <x v="4"/>
  </r>
  <r>
    <d v="2021-03-25T00:00:00"/>
    <x v="3"/>
    <x v="0"/>
    <x v="1"/>
    <x v="1"/>
    <n v="8395"/>
    <n v="3609.85"/>
    <x v="0"/>
    <x v="2"/>
    <x v="4"/>
  </r>
  <r>
    <d v="2021-03-25T00:00:00"/>
    <x v="4"/>
    <x v="1"/>
    <x v="0"/>
    <x v="1"/>
    <n v="7766"/>
    <n v="2252.14"/>
    <x v="0"/>
    <x v="2"/>
    <x v="4"/>
  </r>
  <r>
    <d v="2021-03-25T00:00:00"/>
    <x v="5"/>
    <x v="2"/>
    <x v="0"/>
    <x v="1"/>
    <n v="3828"/>
    <n v="1492.92"/>
    <x v="0"/>
    <x v="2"/>
    <x v="4"/>
  </r>
  <r>
    <d v="2021-03-24T00:00:00"/>
    <x v="6"/>
    <x v="0"/>
    <x v="1"/>
    <x v="1"/>
    <n v="2485"/>
    <n v="994"/>
    <x v="0"/>
    <x v="2"/>
    <x v="4"/>
  </r>
  <r>
    <d v="2021-03-30T00:00:00"/>
    <x v="7"/>
    <x v="1"/>
    <x v="0"/>
    <x v="0"/>
    <n v="8991"/>
    <n v="1438.56"/>
    <x v="0"/>
    <x v="2"/>
    <x v="3"/>
  </r>
  <r>
    <d v="2021-03-30T00:00:00"/>
    <x v="8"/>
    <x v="2"/>
    <x v="0"/>
    <x v="0"/>
    <n v="6402"/>
    <n v="2240.6999999999998"/>
    <x v="0"/>
    <x v="2"/>
    <x v="3"/>
  </r>
  <r>
    <d v="2021-03-30T00:00:00"/>
    <x v="9"/>
    <x v="2"/>
    <x v="0"/>
    <x v="1"/>
    <n v="2495"/>
    <n v="523.95000000000005"/>
    <x v="0"/>
    <x v="2"/>
    <x v="3"/>
  </r>
  <r>
    <d v="2021-03-30T00:00:00"/>
    <x v="10"/>
    <x v="1"/>
    <x v="1"/>
    <x v="1"/>
    <n v="2615"/>
    <n v="627.6"/>
    <x v="0"/>
    <x v="2"/>
    <x v="3"/>
  </r>
  <r>
    <d v="2021-03-30T00:00:00"/>
    <x v="11"/>
    <x v="1"/>
    <x v="0"/>
    <x v="0"/>
    <n v="6304"/>
    <n v="2143.36"/>
    <x v="0"/>
    <x v="2"/>
    <x v="3"/>
  </r>
  <r>
    <d v="2021-03-30T00:00:00"/>
    <x v="12"/>
    <x v="1"/>
    <x v="1"/>
    <x v="0"/>
    <n v="5428"/>
    <n v="814.2"/>
    <x v="0"/>
    <x v="2"/>
    <x v="3"/>
  </r>
  <r>
    <d v="2021-03-30T00:00:00"/>
    <x v="13"/>
    <x v="0"/>
    <x v="1"/>
    <x v="1"/>
    <n v="5794"/>
    <n v="1738.2"/>
    <x v="0"/>
    <x v="2"/>
    <x v="3"/>
  </r>
  <r>
    <d v="2021-03-26T00:00:00"/>
    <x v="14"/>
    <x v="0"/>
    <x v="0"/>
    <x v="0"/>
    <n v="9360"/>
    <n v="3556.8"/>
    <x v="0"/>
    <x v="2"/>
    <x v="4"/>
  </r>
  <r>
    <d v="2021-03-25T00:00:00"/>
    <x v="15"/>
    <x v="1"/>
    <x v="0"/>
    <x v="1"/>
    <n v="3861"/>
    <n v="1235.52"/>
    <x v="0"/>
    <x v="2"/>
    <x v="4"/>
  </r>
  <r>
    <d v="2021-03-25T00:00:00"/>
    <x v="16"/>
    <x v="2"/>
    <x v="1"/>
    <x v="1"/>
    <n v="6237"/>
    <n v="2806.65"/>
    <x v="0"/>
    <x v="2"/>
    <x v="4"/>
  </r>
  <r>
    <d v="2021-03-25T00:00:00"/>
    <x v="17"/>
    <x v="2"/>
    <x v="1"/>
    <x v="1"/>
    <n v="7903"/>
    <n v="2212.84"/>
    <x v="0"/>
    <x v="2"/>
    <x v="4"/>
  </r>
  <r>
    <d v="2021-03-25T00:00:00"/>
    <x v="18"/>
    <x v="1"/>
    <x v="1"/>
    <x v="1"/>
    <n v="7472"/>
    <n v="2839.36"/>
    <x v="0"/>
    <x v="2"/>
    <x v="4"/>
  </r>
  <r>
    <d v="2021-03-24T00:00:00"/>
    <x v="19"/>
    <x v="1"/>
    <x v="0"/>
    <x v="1"/>
    <n v="10690"/>
    <n v="4169.1000000000004"/>
    <x v="0"/>
    <x v="2"/>
    <x v="4"/>
  </r>
  <r>
    <d v="2021-03-31T00:00:00"/>
    <x v="20"/>
    <x v="1"/>
    <x v="1"/>
    <x v="0"/>
    <n v="4811"/>
    <n v="1106.53"/>
    <x v="0"/>
    <x v="2"/>
    <x v="3"/>
  </r>
  <r>
    <d v="2021-03-31T00:00:00"/>
    <x v="21"/>
    <x v="0"/>
    <x v="0"/>
    <x v="0"/>
    <n v="8523"/>
    <n v="1448.91"/>
    <x v="0"/>
    <x v="2"/>
    <x v="3"/>
  </r>
  <r>
    <d v="2021-03-31T00:00:00"/>
    <x v="22"/>
    <x v="1"/>
    <x v="0"/>
    <x v="1"/>
    <n v="10371"/>
    <n v="2281.62"/>
    <x v="0"/>
    <x v="2"/>
    <x v="3"/>
  </r>
  <r>
    <d v="2021-04-30T00:00:00"/>
    <x v="0"/>
    <x v="1"/>
    <x v="0"/>
    <x v="1"/>
    <n v="3539"/>
    <n v="813.97"/>
    <x v="0"/>
    <x v="3"/>
    <x v="5"/>
  </r>
  <r>
    <d v="2021-04-30T00:00:00"/>
    <x v="1"/>
    <x v="2"/>
    <x v="0"/>
    <x v="0"/>
    <n v="4621"/>
    <n v="1293.8800000000001"/>
    <x v="0"/>
    <x v="3"/>
    <x v="5"/>
  </r>
  <r>
    <d v="2021-04-30T00:00:00"/>
    <x v="2"/>
    <x v="1"/>
    <x v="0"/>
    <x v="0"/>
    <n v="1409"/>
    <n v="408.61"/>
    <x v="0"/>
    <x v="3"/>
    <x v="5"/>
  </r>
  <r>
    <d v="2021-04-30T00:00:00"/>
    <x v="3"/>
    <x v="0"/>
    <x v="0"/>
    <x v="1"/>
    <n v="2840"/>
    <n v="908.8"/>
    <x v="0"/>
    <x v="3"/>
    <x v="5"/>
  </r>
  <r>
    <d v="2021-04-26T00:00:00"/>
    <x v="4"/>
    <x v="0"/>
    <x v="0"/>
    <x v="0"/>
    <n v="4820"/>
    <n v="723"/>
    <x v="0"/>
    <x v="3"/>
    <x v="5"/>
  </r>
  <r>
    <d v="2021-04-25T00:00:00"/>
    <x v="5"/>
    <x v="0"/>
    <x v="1"/>
    <x v="1"/>
    <n v="4361"/>
    <n v="654.15"/>
    <x v="0"/>
    <x v="3"/>
    <x v="6"/>
  </r>
  <r>
    <d v="2021-04-25T00:00:00"/>
    <x v="6"/>
    <x v="2"/>
    <x v="1"/>
    <x v="1"/>
    <n v="6527"/>
    <n v="2610.8000000000002"/>
    <x v="0"/>
    <x v="3"/>
    <x v="6"/>
  </r>
  <r>
    <d v="2021-04-25T00:00:00"/>
    <x v="7"/>
    <x v="0"/>
    <x v="0"/>
    <x v="1"/>
    <n v="7308"/>
    <n v="2557.8000000000002"/>
    <x v="0"/>
    <x v="3"/>
    <x v="6"/>
  </r>
  <r>
    <d v="2021-04-25T00:00:00"/>
    <x v="8"/>
    <x v="0"/>
    <x v="1"/>
    <x v="1"/>
    <n v="5191"/>
    <n v="1557.3"/>
    <x v="0"/>
    <x v="3"/>
    <x v="6"/>
  </r>
  <r>
    <d v="2021-04-24T00:00:00"/>
    <x v="9"/>
    <x v="2"/>
    <x v="0"/>
    <x v="1"/>
    <n v="6927"/>
    <n v="1662.48"/>
    <x v="0"/>
    <x v="3"/>
    <x v="6"/>
  </r>
  <r>
    <d v="2021-04-30T00:00:00"/>
    <x v="10"/>
    <x v="0"/>
    <x v="0"/>
    <x v="0"/>
    <n v="4215"/>
    <n v="1138.05"/>
    <x v="0"/>
    <x v="3"/>
    <x v="5"/>
  </r>
  <r>
    <d v="2021-04-30T00:00:00"/>
    <x v="11"/>
    <x v="2"/>
    <x v="0"/>
    <x v="0"/>
    <n v="8956"/>
    <n v="3851.08"/>
    <x v="0"/>
    <x v="3"/>
    <x v="5"/>
  </r>
  <r>
    <d v="2021-04-30T00:00:00"/>
    <x v="12"/>
    <x v="2"/>
    <x v="1"/>
    <x v="1"/>
    <n v="5958"/>
    <n v="1727.82"/>
    <x v="0"/>
    <x v="3"/>
    <x v="5"/>
  </r>
  <r>
    <d v="2021-04-30T00:00:00"/>
    <x v="13"/>
    <x v="2"/>
    <x v="0"/>
    <x v="1"/>
    <n v="6870"/>
    <n v="2129.6999999999998"/>
    <x v="0"/>
    <x v="3"/>
    <x v="5"/>
  </r>
  <r>
    <d v="2021-04-30T00:00:00"/>
    <x v="14"/>
    <x v="2"/>
    <x v="1"/>
    <x v="0"/>
    <n v="9612"/>
    <n v="4325.3999999999996"/>
    <x v="0"/>
    <x v="3"/>
    <x v="5"/>
  </r>
  <r>
    <d v="2021-04-30T00:00:00"/>
    <x v="15"/>
    <x v="1"/>
    <x v="1"/>
    <x v="0"/>
    <n v="1880"/>
    <n v="808.4"/>
    <x v="0"/>
    <x v="3"/>
    <x v="5"/>
  </r>
  <r>
    <d v="2021-04-30T00:00:00"/>
    <x v="16"/>
    <x v="2"/>
    <x v="1"/>
    <x v="1"/>
    <n v="8485"/>
    <n v="2206.1"/>
    <x v="0"/>
    <x v="3"/>
    <x v="5"/>
  </r>
  <r>
    <d v="2021-04-26T00:00:00"/>
    <x v="17"/>
    <x v="0"/>
    <x v="0"/>
    <x v="0"/>
    <n v="3803"/>
    <n v="646.51"/>
    <x v="0"/>
    <x v="3"/>
    <x v="5"/>
  </r>
  <r>
    <d v="2021-04-25T00:00:00"/>
    <x v="18"/>
    <x v="1"/>
    <x v="0"/>
    <x v="1"/>
    <n v="8079"/>
    <n v="3393.18"/>
    <x v="0"/>
    <x v="3"/>
    <x v="6"/>
  </r>
  <r>
    <d v="2021-04-25T00:00:00"/>
    <x v="19"/>
    <x v="2"/>
    <x v="0"/>
    <x v="1"/>
    <n v="5078"/>
    <n v="1371.06"/>
    <x v="0"/>
    <x v="3"/>
    <x v="6"/>
  </r>
  <r>
    <d v="2021-04-25T00:00:00"/>
    <x v="20"/>
    <x v="1"/>
    <x v="0"/>
    <x v="1"/>
    <n v="3318"/>
    <n v="530.88"/>
    <x v="0"/>
    <x v="3"/>
    <x v="6"/>
  </r>
  <r>
    <d v="2021-04-25T00:00:00"/>
    <x v="21"/>
    <x v="1"/>
    <x v="1"/>
    <x v="1"/>
    <n v="6047"/>
    <n v="1814.1"/>
    <x v="0"/>
    <x v="3"/>
    <x v="6"/>
  </r>
  <r>
    <d v="2021-04-24T00:00:00"/>
    <x v="22"/>
    <x v="1"/>
    <x v="0"/>
    <x v="1"/>
    <n v="3008"/>
    <n v="481.28"/>
    <x v="0"/>
    <x v="3"/>
    <x v="6"/>
  </r>
  <r>
    <d v="2021-05-31T00:00:00"/>
    <x v="0"/>
    <x v="0"/>
    <x v="0"/>
    <x v="0"/>
    <n v="2574"/>
    <n v="720.72"/>
    <x v="0"/>
    <x v="4"/>
    <x v="7"/>
  </r>
  <r>
    <d v="2021-05-31T00:00:00"/>
    <x v="1"/>
    <x v="1"/>
    <x v="1"/>
    <x v="0"/>
    <n v="8804"/>
    <n v="2377.08"/>
    <x v="0"/>
    <x v="4"/>
    <x v="7"/>
  </r>
  <r>
    <d v="2021-05-31T00:00:00"/>
    <x v="2"/>
    <x v="2"/>
    <x v="1"/>
    <x v="1"/>
    <n v="11270"/>
    <n v="4169.8999999999996"/>
    <x v="0"/>
    <x v="4"/>
    <x v="7"/>
  </r>
  <r>
    <d v="2021-05-31T00:00:00"/>
    <x v="3"/>
    <x v="0"/>
    <x v="0"/>
    <x v="1"/>
    <n v="8678"/>
    <n v="1909.16"/>
    <x v="0"/>
    <x v="4"/>
    <x v="7"/>
  </r>
  <r>
    <d v="2021-05-31T00:00:00"/>
    <x v="4"/>
    <x v="1"/>
    <x v="1"/>
    <x v="0"/>
    <n v="11166"/>
    <n v="4913.04"/>
    <x v="0"/>
    <x v="4"/>
    <x v="7"/>
  </r>
  <r>
    <d v="2021-05-31T00:00:00"/>
    <x v="5"/>
    <x v="1"/>
    <x v="1"/>
    <x v="0"/>
    <n v="11370"/>
    <n v="2728.8"/>
    <x v="0"/>
    <x v="4"/>
    <x v="7"/>
  </r>
  <r>
    <d v="2021-05-30T00:00:00"/>
    <x v="6"/>
    <x v="0"/>
    <x v="1"/>
    <x v="1"/>
    <n v="5564"/>
    <n v="1279.72"/>
    <x v="0"/>
    <x v="4"/>
    <x v="8"/>
  </r>
  <r>
    <d v="2021-05-26T00:00:00"/>
    <x v="7"/>
    <x v="1"/>
    <x v="1"/>
    <x v="0"/>
    <n v="3646"/>
    <n v="1494.86"/>
    <x v="0"/>
    <x v="4"/>
    <x v="8"/>
  </r>
  <r>
    <d v="2021-05-25T00:00:00"/>
    <x v="8"/>
    <x v="2"/>
    <x v="1"/>
    <x v="1"/>
    <n v="4850"/>
    <n v="1261"/>
    <x v="0"/>
    <x v="4"/>
    <x v="8"/>
  </r>
  <r>
    <d v="2021-05-25T00:00:00"/>
    <x v="9"/>
    <x v="0"/>
    <x v="1"/>
    <x v="1"/>
    <n v="6180"/>
    <n v="1421.4"/>
    <x v="0"/>
    <x v="4"/>
    <x v="8"/>
  </r>
  <r>
    <d v="2021-05-25T00:00:00"/>
    <x v="10"/>
    <x v="1"/>
    <x v="0"/>
    <x v="1"/>
    <n v="10351"/>
    <n v="2070.1999999999998"/>
    <x v="0"/>
    <x v="4"/>
    <x v="8"/>
  </r>
  <r>
    <d v="2021-05-25T00:00:00"/>
    <x v="11"/>
    <x v="2"/>
    <x v="0"/>
    <x v="1"/>
    <n v="11339"/>
    <n v="4648.99"/>
    <x v="0"/>
    <x v="4"/>
    <x v="8"/>
  </r>
  <r>
    <d v="2021-05-24T00:00:00"/>
    <x v="12"/>
    <x v="2"/>
    <x v="1"/>
    <x v="1"/>
    <n v="4364"/>
    <n v="1221.92"/>
    <x v="0"/>
    <x v="4"/>
    <x v="8"/>
  </r>
  <r>
    <d v="2021-06-30T00:00:00"/>
    <x v="0"/>
    <x v="1"/>
    <x v="0"/>
    <x v="0"/>
    <n v="3350"/>
    <n v="1206"/>
    <x v="0"/>
    <x v="5"/>
    <x v="9"/>
  </r>
  <r>
    <d v="2021-06-30T00:00:00"/>
    <x v="1"/>
    <x v="1"/>
    <x v="0"/>
    <x v="0"/>
    <n v="1485"/>
    <n v="579.15"/>
    <x v="0"/>
    <x v="5"/>
    <x v="9"/>
  </r>
  <r>
    <d v="2021-06-30T00:00:00"/>
    <x v="2"/>
    <x v="1"/>
    <x v="0"/>
    <x v="1"/>
    <n v="11121"/>
    <n v="2669.04"/>
    <x v="0"/>
    <x v="5"/>
    <x v="9"/>
  </r>
  <r>
    <d v="2021-06-30T00:00:00"/>
    <x v="3"/>
    <x v="0"/>
    <x v="1"/>
    <x v="1"/>
    <n v="3908"/>
    <n v="742.52"/>
    <x v="0"/>
    <x v="5"/>
    <x v="9"/>
  </r>
  <r>
    <d v="2021-06-30T00:00:00"/>
    <x v="4"/>
    <x v="0"/>
    <x v="0"/>
    <x v="0"/>
    <n v="3112"/>
    <n v="1244.8"/>
    <x v="0"/>
    <x v="5"/>
    <x v="9"/>
  </r>
  <r>
    <d v="2021-06-30T00:00:00"/>
    <x v="5"/>
    <x v="1"/>
    <x v="0"/>
    <x v="0"/>
    <n v="8851"/>
    <n v="1681.69"/>
    <x v="0"/>
    <x v="5"/>
    <x v="9"/>
  </r>
  <r>
    <d v="2021-06-30T00:00:00"/>
    <x v="6"/>
    <x v="2"/>
    <x v="1"/>
    <x v="1"/>
    <n v="1053"/>
    <n v="400.14"/>
    <x v="0"/>
    <x v="5"/>
    <x v="9"/>
  </r>
  <r>
    <d v="2021-06-26T00:00:00"/>
    <x v="7"/>
    <x v="2"/>
    <x v="0"/>
    <x v="0"/>
    <n v="4188"/>
    <n v="963.24"/>
    <x v="0"/>
    <x v="5"/>
    <x v="10"/>
  </r>
  <r>
    <d v="2021-06-25T00:00:00"/>
    <x v="8"/>
    <x v="1"/>
    <x v="1"/>
    <x v="1"/>
    <n v="4720"/>
    <n v="991.2"/>
    <x v="0"/>
    <x v="5"/>
    <x v="10"/>
  </r>
  <r>
    <d v="2021-06-25T00:00:00"/>
    <x v="9"/>
    <x v="1"/>
    <x v="1"/>
    <x v="1"/>
    <n v="10814"/>
    <n v="4650.0200000000004"/>
    <x v="0"/>
    <x v="5"/>
    <x v="10"/>
  </r>
  <r>
    <d v="2021-06-25T00:00:00"/>
    <x v="10"/>
    <x v="1"/>
    <x v="1"/>
    <x v="1"/>
    <n v="10115"/>
    <n v="2427.6"/>
    <x v="0"/>
    <x v="5"/>
    <x v="10"/>
  </r>
  <r>
    <d v="2021-06-25T00:00:00"/>
    <x v="11"/>
    <x v="0"/>
    <x v="0"/>
    <x v="1"/>
    <n v="4742"/>
    <n v="2086.48"/>
    <x v="0"/>
    <x v="5"/>
    <x v="10"/>
  </r>
  <r>
    <d v="2021-06-24T00:00:00"/>
    <x v="12"/>
    <x v="1"/>
    <x v="1"/>
    <x v="1"/>
    <n v="4330"/>
    <n v="1948.5"/>
    <x v="0"/>
    <x v="5"/>
    <x v="10"/>
  </r>
  <r>
    <d v="2021-06-24T00:00:00"/>
    <x v="13"/>
    <x v="1"/>
    <x v="0"/>
    <x v="0"/>
    <n v="3056"/>
    <n v="947.36"/>
    <x v="0"/>
    <x v="5"/>
    <x v="10"/>
  </r>
  <r>
    <d v="2021-06-24T00:00:00"/>
    <x v="14"/>
    <x v="2"/>
    <x v="0"/>
    <x v="0"/>
    <n v="3499"/>
    <n v="979.72"/>
    <x v="0"/>
    <x v="5"/>
    <x v="10"/>
  </r>
  <r>
    <d v="2021-07-31T00:00:00"/>
    <x v="0"/>
    <x v="1"/>
    <x v="0"/>
    <x v="1"/>
    <n v="7707"/>
    <n v="2774.52"/>
    <x v="0"/>
    <x v="6"/>
    <x v="11"/>
  </r>
  <r>
    <d v="2021-07-31T00:00:00"/>
    <x v="1"/>
    <x v="0"/>
    <x v="0"/>
    <x v="1"/>
    <n v="3942"/>
    <n v="591.29999999999995"/>
    <x v="0"/>
    <x v="6"/>
    <x v="11"/>
  </r>
  <r>
    <d v="2021-07-31T00:00:00"/>
    <x v="2"/>
    <x v="0"/>
    <x v="1"/>
    <x v="0"/>
    <n v="2600"/>
    <n v="494"/>
    <x v="0"/>
    <x v="6"/>
    <x v="11"/>
  </r>
  <r>
    <d v="2021-07-31T00:00:00"/>
    <x v="3"/>
    <x v="0"/>
    <x v="0"/>
    <x v="0"/>
    <n v="1804"/>
    <n v="487.08"/>
    <x v="0"/>
    <x v="6"/>
    <x v="11"/>
  </r>
  <r>
    <d v="2021-07-30T00:00:00"/>
    <x v="4"/>
    <x v="2"/>
    <x v="1"/>
    <x v="1"/>
    <n v="2450"/>
    <n v="661.5"/>
    <x v="0"/>
    <x v="6"/>
    <x v="11"/>
  </r>
  <r>
    <d v="2021-07-26T00:00:00"/>
    <x v="5"/>
    <x v="0"/>
    <x v="1"/>
    <x v="0"/>
    <n v="2087"/>
    <n v="646.97"/>
    <x v="0"/>
    <x v="6"/>
    <x v="11"/>
  </r>
  <r>
    <d v="2021-07-25T00:00:00"/>
    <x v="6"/>
    <x v="0"/>
    <x v="0"/>
    <x v="1"/>
    <n v="4420"/>
    <n v="1856.4"/>
    <x v="0"/>
    <x v="6"/>
    <x v="12"/>
  </r>
  <r>
    <d v="2021-07-25T00:00:00"/>
    <x v="7"/>
    <x v="2"/>
    <x v="0"/>
    <x v="1"/>
    <n v="1214"/>
    <n v="352.06"/>
    <x v="0"/>
    <x v="6"/>
    <x v="12"/>
  </r>
  <r>
    <d v="2021-07-25T00:00:00"/>
    <x v="8"/>
    <x v="0"/>
    <x v="0"/>
    <x v="1"/>
    <n v="10818"/>
    <n v="4543.5600000000004"/>
    <x v="0"/>
    <x v="6"/>
    <x v="12"/>
  </r>
  <r>
    <d v="2021-07-25T00:00:00"/>
    <x v="9"/>
    <x v="2"/>
    <x v="1"/>
    <x v="1"/>
    <n v="7848"/>
    <n v="2354.4"/>
    <x v="0"/>
    <x v="6"/>
    <x v="12"/>
  </r>
  <r>
    <d v="2021-07-24T00:00:00"/>
    <x v="10"/>
    <x v="2"/>
    <x v="0"/>
    <x v="1"/>
    <n v="2382"/>
    <n v="952.8"/>
    <x v="0"/>
    <x v="6"/>
    <x v="12"/>
  </r>
  <r>
    <d v="2021-07-30T00:00:00"/>
    <x v="11"/>
    <x v="2"/>
    <x v="0"/>
    <x v="0"/>
    <n v="10228"/>
    <n v="3068.4"/>
    <x v="0"/>
    <x v="6"/>
    <x v="11"/>
  </r>
  <r>
    <d v="2021-07-30T00:00:00"/>
    <x v="12"/>
    <x v="2"/>
    <x v="1"/>
    <x v="0"/>
    <n v="6054"/>
    <n v="1089.72"/>
    <x v="0"/>
    <x v="6"/>
    <x v="11"/>
  </r>
  <r>
    <d v="2021-07-30T00:00:00"/>
    <x v="13"/>
    <x v="1"/>
    <x v="0"/>
    <x v="1"/>
    <n v="7117"/>
    <n v="2348.61"/>
    <x v="0"/>
    <x v="6"/>
    <x v="11"/>
  </r>
  <r>
    <d v="2021-07-30T00:00:00"/>
    <x v="14"/>
    <x v="2"/>
    <x v="1"/>
    <x v="1"/>
    <n v="7652"/>
    <n v="1147.8"/>
    <x v="0"/>
    <x v="6"/>
    <x v="11"/>
  </r>
  <r>
    <d v="2021-07-30T00:00:00"/>
    <x v="15"/>
    <x v="0"/>
    <x v="1"/>
    <x v="0"/>
    <n v="4976"/>
    <n v="1741.6"/>
    <x v="0"/>
    <x v="6"/>
    <x v="11"/>
  </r>
  <r>
    <d v="2021-07-30T00:00:00"/>
    <x v="16"/>
    <x v="1"/>
    <x v="1"/>
    <x v="0"/>
    <n v="1250"/>
    <n v="287.5"/>
    <x v="0"/>
    <x v="6"/>
    <x v="11"/>
  </r>
  <r>
    <d v="2021-07-30T00:00:00"/>
    <x v="17"/>
    <x v="2"/>
    <x v="1"/>
    <x v="1"/>
    <n v="1243"/>
    <n v="546.91999999999996"/>
    <x v="0"/>
    <x v="6"/>
    <x v="11"/>
  </r>
  <r>
    <d v="2021-07-26T00:00:00"/>
    <x v="18"/>
    <x v="1"/>
    <x v="0"/>
    <x v="0"/>
    <n v="11224"/>
    <n v="2806"/>
    <x v="0"/>
    <x v="6"/>
    <x v="11"/>
  </r>
  <r>
    <d v="2021-07-25T00:00:00"/>
    <x v="19"/>
    <x v="1"/>
    <x v="0"/>
    <x v="1"/>
    <n v="10457"/>
    <n v="3764.52"/>
    <x v="0"/>
    <x v="6"/>
    <x v="12"/>
  </r>
  <r>
    <d v="2021-07-25T00:00:00"/>
    <x v="20"/>
    <x v="1"/>
    <x v="0"/>
    <x v="1"/>
    <n v="5309"/>
    <n v="1539.61"/>
    <x v="0"/>
    <x v="6"/>
    <x v="12"/>
  </r>
  <r>
    <d v="2021-07-25T00:00:00"/>
    <x v="21"/>
    <x v="0"/>
    <x v="1"/>
    <x v="1"/>
    <n v="9027"/>
    <n v="1534.59"/>
    <x v="0"/>
    <x v="6"/>
    <x v="12"/>
  </r>
  <r>
    <d v="2021-07-25T00:00:00"/>
    <x v="22"/>
    <x v="1"/>
    <x v="1"/>
    <x v="1"/>
    <n v="8025"/>
    <n v="2327.25"/>
    <x v="0"/>
    <x v="6"/>
    <x v="12"/>
  </r>
  <r>
    <d v="2021-07-24T00:00:00"/>
    <x v="23"/>
    <x v="2"/>
    <x v="0"/>
    <x v="1"/>
    <n v="7478"/>
    <n v="1196.48"/>
    <x v="0"/>
    <x v="6"/>
    <x v="12"/>
  </r>
  <r>
    <d v="2021-07-24T00:00:00"/>
    <x v="24"/>
    <x v="0"/>
    <x v="1"/>
    <x v="0"/>
    <n v="5954"/>
    <n v="2083.9"/>
    <x v="0"/>
    <x v="6"/>
    <x v="12"/>
  </r>
  <r>
    <d v="2021-07-24T00:00:00"/>
    <x v="25"/>
    <x v="1"/>
    <x v="1"/>
    <x v="0"/>
    <n v="2689"/>
    <n v="537.79999999999995"/>
    <x v="0"/>
    <x v="6"/>
    <x v="12"/>
  </r>
  <r>
    <d v="2021-08-31T00:00:00"/>
    <x v="0"/>
    <x v="1"/>
    <x v="1"/>
    <x v="1"/>
    <n v="8196"/>
    <n v="1475.28"/>
    <x v="0"/>
    <x v="7"/>
    <x v="13"/>
  </r>
  <r>
    <d v="2021-08-31T00:00:00"/>
    <x v="1"/>
    <x v="0"/>
    <x v="0"/>
    <x v="1"/>
    <n v="1703"/>
    <n v="476.84"/>
    <x v="0"/>
    <x v="7"/>
    <x v="13"/>
  </r>
  <r>
    <d v="2021-08-31T00:00:00"/>
    <x v="2"/>
    <x v="1"/>
    <x v="0"/>
    <x v="0"/>
    <n v="9447"/>
    <n v="3306.45"/>
    <x v="0"/>
    <x v="7"/>
    <x v="13"/>
  </r>
  <r>
    <d v="2021-08-31T00:00:00"/>
    <x v="3"/>
    <x v="2"/>
    <x v="0"/>
    <x v="0"/>
    <n v="4276"/>
    <n v="684.16"/>
    <x v="0"/>
    <x v="7"/>
    <x v="13"/>
  </r>
  <r>
    <d v="2021-08-30T00:00:00"/>
    <x v="4"/>
    <x v="0"/>
    <x v="0"/>
    <x v="1"/>
    <n v="7855"/>
    <n v="1178.25"/>
    <x v="0"/>
    <x v="7"/>
    <x v="13"/>
  </r>
  <r>
    <d v="2021-08-26T00:00:00"/>
    <x v="5"/>
    <x v="1"/>
    <x v="0"/>
    <x v="0"/>
    <n v="7401"/>
    <n v="1184.1600000000001"/>
    <x v="0"/>
    <x v="7"/>
    <x v="14"/>
  </r>
  <r>
    <d v="2021-08-25T00:00:00"/>
    <x v="6"/>
    <x v="2"/>
    <x v="1"/>
    <x v="1"/>
    <n v="8563"/>
    <n v="1455.71"/>
    <x v="0"/>
    <x v="7"/>
    <x v="14"/>
  </r>
  <r>
    <d v="2021-08-25T00:00:00"/>
    <x v="7"/>
    <x v="2"/>
    <x v="1"/>
    <x v="1"/>
    <n v="9559"/>
    <n v="3058.88"/>
    <x v="0"/>
    <x v="7"/>
    <x v="14"/>
  </r>
  <r>
    <d v="2021-08-25T00:00:00"/>
    <x v="8"/>
    <x v="1"/>
    <x v="0"/>
    <x v="1"/>
    <n v="2378"/>
    <n v="951.2"/>
    <x v="0"/>
    <x v="7"/>
    <x v="14"/>
  </r>
  <r>
    <d v="2021-08-25T00:00:00"/>
    <x v="9"/>
    <x v="1"/>
    <x v="0"/>
    <x v="1"/>
    <n v="6719"/>
    <n v="1142.23"/>
    <x v="0"/>
    <x v="7"/>
    <x v="14"/>
  </r>
  <r>
    <d v="2021-08-24T00:00:00"/>
    <x v="10"/>
    <x v="1"/>
    <x v="1"/>
    <x v="1"/>
    <n v="3667"/>
    <n v="843.41"/>
    <x v="0"/>
    <x v="7"/>
    <x v="14"/>
  </r>
  <r>
    <d v="2021-08-30T00:00:00"/>
    <x v="11"/>
    <x v="0"/>
    <x v="1"/>
    <x v="0"/>
    <n v="10977"/>
    <n v="3073.56"/>
    <x v="0"/>
    <x v="7"/>
    <x v="13"/>
  </r>
  <r>
    <d v="2021-08-30T00:00:00"/>
    <x v="12"/>
    <x v="0"/>
    <x v="0"/>
    <x v="0"/>
    <n v="8714"/>
    <n v="3659.88"/>
    <x v="0"/>
    <x v="7"/>
    <x v="13"/>
  </r>
  <r>
    <d v="2021-08-30T00:00:00"/>
    <x v="13"/>
    <x v="1"/>
    <x v="0"/>
    <x v="1"/>
    <n v="9359"/>
    <n v="2901.29"/>
    <x v="0"/>
    <x v="7"/>
    <x v="13"/>
  </r>
  <r>
    <d v="2021-09-30T00:00:00"/>
    <x v="0"/>
    <x v="2"/>
    <x v="1"/>
    <x v="1"/>
    <n v="2665"/>
    <n v="852.8"/>
    <x v="0"/>
    <x v="8"/>
    <x v="15"/>
  </r>
  <r>
    <d v="2021-09-30T00:00:00"/>
    <x v="1"/>
    <x v="2"/>
    <x v="0"/>
    <x v="0"/>
    <n v="10350"/>
    <n v="3933"/>
    <x v="0"/>
    <x v="8"/>
    <x v="15"/>
  </r>
  <r>
    <d v="2021-09-30T00:00:00"/>
    <x v="2"/>
    <x v="1"/>
    <x v="0"/>
    <x v="0"/>
    <n v="7586"/>
    <n v="1213.76"/>
    <x v="0"/>
    <x v="8"/>
    <x v="15"/>
  </r>
  <r>
    <d v="2021-09-30T00:00:00"/>
    <x v="3"/>
    <x v="1"/>
    <x v="0"/>
    <x v="1"/>
    <n v="10015"/>
    <n v="2603.9"/>
    <x v="0"/>
    <x v="8"/>
    <x v="15"/>
  </r>
  <r>
    <d v="2021-09-26T00:00:00"/>
    <x v="4"/>
    <x v="1"/>
    <x v="1"/>
    <x v="0"/>
    <n v="10572"/>
    <n v="4123.08"/>
    <x v="0"/>
    <x v="8"/>
    <x v="16"/>
  </r>
  <r>
    <d v="2021-09-25T00:00:00"/>
    <x v="5"/>
    <x v="0"/>
    <x v="1"/>
    <x v="1"/>
    <n v="7895"/>
    <n v="1894.8"/>
    <x v="0"/>
    <x v="8"/>
    <x v="16"/>
  </r>
  <r>
    <d v="2021-09-25T00:00:00"/>
    <x v="6"/>
    <x v="1"/>
    <x v="0"/>
    <x v="1"/>
    <n v="3811"/>
    <n v="1181.4100000000001"/>
    <x v="0"/>
    <x v="8"/>
    <x v="16"/>
  </r>
  <r>
    <d v="2021-09-25T00:00:00"/>
    <x v="7"/>
    <x v="1"/>
    <x v="1"/>
    <x v="1"/>
    <n v="7170"/>
    <n v="1649.1"/>
    <x v="0"/>
    <x v="8"/>
    <x v="16"/>
  </r>
  <r>
    <d v="2021-09-25T00:00:00"/>
    <x v="8"/>
    <x v="2"/>
    <x v="1"/>
    <x v="1"/>
    <n v="2222"/>
    <n v="577.72"/>
    <x v="0"/>
    <x v="8"/>
    <x v="16"/>
  </r>
  <r>
    <d v="2021-09-24T00:00:00"/>
    <x v="9"/>
    <x v="1"/>
    <x v="0"/>
    <x v="1"/>
    <n v="2244"/>
    <n v="538.55999999999995"/>
    <x v="0"/>
    <x v="8"/>
    <x v="16"/>
  </r>
  <r>
    <d v="2021-09-24T00:00:00"/>
    <x v="10"/>
    <x v="0"/>
    <x v="0"/>
    <x v="0"/>
    <n v="11396"/>
    <n v="1709.4"/>
    <x v="0"/>
    <x v="8"/>
    <x v="16"/>
  </r>
  <r>
    <d v="2021-09-24T00:00:00"/>
    <x v="11"/>
    <x v="0"/>
    <x v="0"/>
    <x v="0"/>
    <n v="11979"/>
    <n v="3234.33"/>
    <x v="0"/>
    <x v="8"/>
    <x v="16"/>
  </r>
  <r>
    <d v="2021-09-24T00:00:00"/>
    <x v="12"/>
    <x v="0"/>
    <x v="0"/>
    <x v="1"/>
    <n v="11187"/>
    <n v="2573.0100000000002"/>
    <x v="0"/>
    <x v="8"/>
    <x v="16"/>
  </r>
  <r>
    <d v="2021-09-24T00:00:00"/>
    <x v="13"/>
    <x v="2"/>
    <x v="0"/>
    <x v="1"/>
    <n v="6047"/>
    <n v="1088.46"/>
    <x v="0"/>
    <x v="8"/>
    <x v="16"/>
  </r>
  <r>
    <d v="2021-09-24T00:00:00"/>
    <x v="14"/>
    <x v="0"/>
    <x v="1"/>
    <x v="0"/>
    <n v="7204"/>
    <n v="2305.2800000000002"/>
    <x v="0"/>
    <x v="8"/>
    <x v="16"/>
  </r>
  <r>
    <d v="2021-09-24T00:00:00"/>
    <x v="15"/>
    <x v="0"/>
    <x v="0"/>
    <x v="0"/>
    <n v="7091"/>
    <n v="2765.49"/>
    <x v="0"/>
    <x v="8"/>
    <x v="16"/>
  </r>
  <r>
    <d v="2021-09-30T00:00:00"/>
    <x v="16"/>
    <x v="2"/>
    <x v="1"/>
    <x v="1"/>
    <n v="5323"/>
    <n v="2182.4299999999998"/>
    <x v="0"/>
    <x v="8"/>
    <x v="15"/>
  </r>
  <r>
    <d v="2021-09-26T00:00:00"/>
    <x v="17"/>
    <x v="0"/>
    <x v="0"/>
    <x v="0"/>
    <n v="9003"/>
    <n v="3961.32"/>
    <x v="0"/>
    <x v="8"/>
    <x v="16"/>
  </r>
  <r>
    <d v="2021-09-25T00:00:00"/>
    <x v="18"/>
    <x v="2"/>
    <x v="1"/>
    <x v="1"/>
    <n v="4174"/>
    <n v="1043.5"/>
    <x v="0"/>
    <x v="8"/>
    <x v="16"/>
  </r>
  <r>
    <d v="2021-09-25T00:00:00"/>
    <x v="19"/>
    <x v="2"/>
    <x v="0"/>
    <x v="1"/>
    <n v="8395"/>
    <n v="1259.25"/>
    <x v="0"/>
    <x v="8"/>
    <x v="16"/>
  </r>
  <r>
    <d v="2021-09-25T00:00:00"/>
    <x v="20"/>
    <x v="2"/>
    <x v="1"/>
    <x v="1"/>
    <n v="7401"/>
    <n v="1110.1500000000001"/>
    <x v="0"/>
    <x v="8"/>
    <x v="16"/>
  </r>
  <r>
    <d v="2021-09-25T00:00:00"/>
    <x v="21"/>
    <x v="2"/>
    <x v="1"/>
    <x v="1"/>
    <n v="5404"/>
    <n v="1188.8800000000001"/>
    <x v="0"/>
    <x v="8"/>
    <x v="16"/>
  </r>
  <r>
    <d v="2021-09-24T00:00:00"/>
    <x v="22"/>
    <x v="1"/>
    <x v="0"/>
    <x v="1"/>
    <n v="7859"/>
    <n v="1728.98"/>
    <x v="0"/>
    <x v="8"/>
    <x v="16"/>
  </r>
  <r>
    <d v="2021-09-30T00:00:00"/>
    <x v="23"/>
    <x v="2"/>
    <x v="0"/>
    <x v="0"/>
    <n v="10338"/>
    <n v="1654.08"/>
    <x v="0"/>
    <x v="8"/>
    <x v="15"/>
  </r>
  <r>
    <d v="2021-09-30T00:00:00"/>
    <x v="24"/>
    <x v="0"/>
    <x v="0"/>
    <x v="0"/>
    <n v="1419"/>
    <n v="439.89"/>
    <x v="0"/>
    <x v="8"/>
    <x v="15"/>
  </r>
  <r>
    <d v="2021-09-30T00:00:00"/>
    <x v="25"/>
    <x v="1"/>
    <x v="1"/>
    <x v="1"/>
    <n v="2546"/>
    <n v="763.8"/>
    <x v="0"/>
    <x v="8"/>
    <x v="15"/>
  </r>
  <r>
    <d v="2021-09-30T00:00:00"/>
    <x v="26"/>
    <x v="2"/>
    <x v="1"/>
    <x v="1"/>
    <n v="7869"/>
    <n v="3462.36"/>
    <x v="0"/>
    <x v="8"/>
    <x v="15"/>
  </r>
  <r>
    <d v="2021-09-30T00:00:00"/>
    <x v="27"/>
    <x v="1"/>
    <x v="0"/>
    <x v="0"/>
    <n v="11191"/>
    <n v="4476.3999999999996"/>
    <x v="0"/>
    <x v="8"/>
    <x v="15"/>
  </r>
  <r>
    <d v="2021-09-30T00:00:00"/>
    <x v="28"/>
    <x v="1"/>
    <x v="1"/>
    <x v="0"/>
    <n v="4265"/>
    <n v="682.4"/>
    <x v="0"/>
    <x v="8"/>
    <x v="15"/>
  </r>
  <r>
    <d v="2021-09-30T00:00:00"/>
    <x v="29"/>
    <x v="1"/>
    <x v="0"/>
    <x v="1"/>
    <n v="6818"/>
    <n v="2454.48"/>
    <x v="0"/>
    <x v="8"/>
    <x v="15"/>
  </r>
  <r>
    <d v="2021-10-26T00:00:00"/>
    <x v="0"/>
    <x v="0"/>
    <x v="0"/>
    <x v="0"/>
    <n v="11217"/>
    <n v="2579.91"/>
    <x v="0"/>
    <x v="9"/>
    <x v="17"/>
  </r>
  <r>
    <d v="2021-10-25T00:00:00"/>
    <x v="1"/>
    <x v="1"/>
    <x v="1"/>
    <x v="1"/>
    <n v="10508"/>
    <n v="4203.2"/>
    <x v="0"/>
    <x v="9"/>
    <x v="17"/>
  </r>
  <r>
    <d v="2021-10-25T00:00:00"/>
    <x v="2"/>
    <x v="2"/>
    <x v="0"/>
    <x v="1"/>
    <n v="8770"/>
    <n v="1666.3"/>
    <x v="0"/>
    <x v="9"/>
    <x v="17"/>
  </r>
  <r>
    <d v="2021-10-25T00:00:00"/>
    <x v="3"/>
    <x v="0"/>
    <x v="1"/>
    <x v="1"/>
    <n v="3032"/>
    <n v="576.08000000000004"/>
    <x v="0"/>
    <x v="9"/>
    <x v="17"/>
  </r>
  <r>
    <d v="2021-10-25T00:00:00"/>
    <x v="4"/>
    <x v="1"/>
    <x v="1"/>
    <x v="1"/>
    <n v="1630"/>
    <n v="293.39999999999998"/>
    <x v="0"/>
    <x v="9"/>
    <x v="17"/>
  </r>
  <r>
    <d v="2021-10-24T00:00:00"/>
    <x v="5"/>
    <x v="1"/>
    <x v="1"/>
    <x v="1"/>
    <n v="8766"/>
    <n v="2629.8"/>
    <x v="0"/>
    <x v="9"/>
    <x v="18"/>
  </r>
  <r>
    <d v="2021-10-31T00:00:00"/>
    <x v="6"/>
    <x v="0"/>
    <x v="0"/>
    <x v="0"/>
    <n v="7183"/>
    <n v="2083.0700000000002"/>
    <x v="0"/>
    <x v="9"/>
    <x v="17"/>
  </r>
  <r>
    <d v="2021-10-31T00:00:00"/>
    <x v="7"/>
    <x v="1"/>
    <x v="0"/>
    <x v="0"/>
    <n v="2546"/>
    <n v="916.56"/>
    <x v="0"/>
    <x v="9"/>
    <x v="17"/>
  </r>
  <r>
    <d v="2021-10-31T00:00:00"/>
    <x v="8"/>
    <x v="2"/>
    <x v="0"/>
    <x v="1"/>
    <n v="7197"/>
    <n v="2518.9499999999998"/>
    <x v="0"/>
    <x v="9"/>
    <x v="17"/>
  </r>
  <r>
    <d v="2021-10-31T00:00:00"/>
    <x v="9"/>
    <x v="0"/>
    <x v="1"/>
    <x v="1"/>
    <n v="7958"/>
    <n v="1989.5"/>
    <x v="0"/>
    <x v="9"/>
    <x v="17"/>
  </r>
  <r>
    <d v="2021-10-31T00:00:00"/>
    <x v="10"/>
    <x v="1"/>
    <x v="0"/>
    <x v="0"/>
    <n v="11324"/>
    <n v="2151.56"/>
    <x v="0"/>
    <x v="9"/>
    <x v="17"/>
  </r>
  <r>
    <d v="2021-10-31T00:00:00"/>
    <x v="11"/>
    <x v="2"/>
    <x v="1"/>
    <x v="0"/>
    <n v="11310"/>
    <n v="3506.1"/>
    <x v="0"/>
    <x v="9"/>
    <x v="17"/>
  </r>
  <r>
    <d v="2021-10-30T00:00:00"/>
    <x v="12"/>
    <x v="2"/>
    <x v="1"/>
    <x v="1"/>
    <n v="9743"/>
    <n v="3117.76"/>
    <x v="0"/>
    <x v="9"/>
    <x v="17"/>
  </r>
  <r>
    <d v="2021-10-26T00:00:00"/>
    <x v="13"/>
    <x v="1"/>
    <x v="1"/>
    <x v="0"/>
    <n v="6996"/>
    <n v="2728.44"/>
    <x v="0"/>
    <x v="9"/>
    <x v="17"/>
  </r>
  <r>
    <d v="2021-10-25T00:00:00"/>
    <x v="14"/>
    <x v="1"/>
    <x v="1"/>
    <x v="1"/>
    <n v="5131"/>
    <n v="1539.3"/>
    <x v="0"/>
    <x v="9"/>
    <x v="17"/>
  </r>
  <r>
    <d v="2021-10-25T00:00:00"/>
    <x v="15"/>
    <x v="1"/>
    <x v="0"/>
    <x v="1"/>
    <n v="3220"/>
    <n v="1127"/>
    <x v="0"/>
    <x v="9"/>
    <x v="17"/>
  </r>
  <r>
    <d v="2021-10-25T00:00:00"/>
    <x v="16"/>
    <x v="0"/>
    <x v="0"/>
    <x v="1"/>
    <n v="4507"/>
    <n v="1757.73"/>
    <x v="0"/>
    <x v="9"/>
    <x v="17"/>
  </r>
  <r>
    <d v="2021-10-25T00:00:00"/>
    <x v="17"/>
    <x v="0"/>
    <x v="0"/>
    <x v="1"/>
    <n v="11102"/>
    <n v="1998.36"/>
    <x v="0"/>
    <x v="9"/>
    <x v="17"/>
  </r>
  <r>
    <d v="2021-10-24T00:00:00"/>
    <x v="18"/>
    <x v="1"/>
    <x v="1"/>
    <x v="1"/>
    <n v="7570"/>
    <n v="1286.9000000000001"/>
    <x v="0"/>
    <x v="9"/>
    <x v="18"/>
  </r>
  <r>
    <d v="2021-10-30T00:00:00"/>
    <x v="19"/>
    <x v="2"/>
    <x v="1"/>
    <x v="0"/>
    <n v="5814"/>
    <n v="2441.88"/>
    <x v="0"/>
    <x v="9"/>
    <x v="17"/>
  </r>
  <r>
    <d v="2021-10-30T00:00:00"/>
    <x v="20"/>
    <x v="2"/>
    <x v="0"/>
    <x v="0"/>
    <n v="11992"/>
    <n v="3237.84"/>
    <x v="0"/>
    <x v="9"/>
    <x v="17"/>
  </r>
  <r>
    <d v="2021-10-30T00:00:00"/>
    <x v="21"/>
    <x v="1"/>
    <x v="0"/>
    <x v="1"/>
    <n v="3193"/>
    <n v="574.74"/>
    <x v="0"/>
    <x v="9"/>
    <x v="17"/>
  </r>
  <r>
    <d v="2021-11-30T00:00:00"/>
    <x v="0"/>
    <x v="1"/>
    <x v="1"/>
    <x v="1"/>
    <n v="1372"/>
    <n v="466.48"/>
    <x v="0"/>
    <x v="10"/>
    <x v="19"/>
  </r>
  <r>
    <d v="2021-11-30T00:00:00"/>
    <x v="1"/>
    <x v="1"/>
    <x v="1"/>
    <x v="0"/>
    <n v="8431"/>
    <n v="3035.16"/>
    <x v="0"/>
    <x v="10"/>
    <x v="19"/>
  </r>
  <r>
    <d v="2021-11-30T00:00:00"/>
    <x v="2"/>
    <x v="0"/>
    <x v="1"/>
    <x v="0"/>
    <n v="4509"/>
    <n v="721.44"/>
    <x v="0"/>
    <x v="10"/>
    <x v="19"/>
  </r>
  <r>
    <d v="2021-11-30T00:00:00"/>
    <x v="3"/>
    <x v="1"/>
    <x v="1"/>
    <x v="1"/>
    <n v="10109"/>
    <n v="3133.79"/>
    <x v="0"/>
    <x v="10"/>
    <x v="19"/>
  </r>
  <r>
    <d v="2021-11-26T00:00:00"/>
    <x v="4"/>
    <x v="1"/>
    <x v="1"/>
    <x v="0"/>
    <n v="10307"/>
    <n v="2370.61"/>
    <x v="0"/>
    <x v="10"/>
    <x v="20"/>
  </r>
  <r>
    <d v="2021-11-25T00:00:00"/>
    <x v="5"/>
    <x v="2"/>
    <x v="0"/>
    <x v="1"/>
    <n v="6017"/>
    <n v="902.55"/>
    <x v="0"/>
    <x v="10"/>
    <x v="20"/>
  </r>
  <r>
    <d v="2021-11-25T00:00:00"/>
    <x v="6"/>
    <x v="1"/>
    <x v="1"/>
    <x v="1"/>
    <n v="9031"/>
    <n v="3251.16"/>
    <x v="0"/>
    <x v="10"/>
    <x v="20"/>
  </r>
  <r>
    <d v="2021-11-25T00:00:00"/>
    <x v="7"/>
    <x v="0"/>
    <x v="1"/>
    <x v="1"/>
    <n v="7925"/>
    <n v="2694.5"/>
    <x v="0"/>
    <x v="10"/>
    <x v="20"/>
  </r>
  <r>
    <d v="2021-11-25T00:00:00"/>
    <x v="8"/>
    <x v="0"/>
    <x v="0"/>
    <x v="1"/>
    <n v="8901"/>
    <n v="3293.37"/>
    <x v="0"/>
    <x v="10"/>
    <x v="20"/>
  </r>
  <r>
    <d v="2021-11-24T00:00:00"/>
    <x v="9"/>
    <x v="0"/>
    <x v="0"/>
    <x v="1"/>
    <n v="9810"/>
    <n v="2746.8"/>
    <x v="0"/>
    <x v="10"/>
    <x v="20"/>
  </r>
  <r>
    <d v="2021-11-24T00:00:00"/>
    <x v="10"/>
    <x v="2"/>
    <x v="1"/>
    <x v="0"/>
    <n v="9957"/>
    <n v="2887.53"/>
    <x v="0"/>
    <x v="10"/>
    <x v="20"/>
  </r>
  <r>
    <d v="2021-11-24T00:00:00"/>
    <x v="11"/>
    <x v="0"/>
    <x v="0"/>
    <x v="0"/>
    <n v="5605"/>
    <n v="1849.65"/>
    <x v="0"/>
    <x v="10"/>
    <x v="20"/>
  </r>
  <r>
    <d v="2021-11-24T00:00:00"/>
    <x v="12"/>
    <x v="0"/>
    <x v="0"/>
    <x v="1"/>
    <n v="9870"/>
    <n v="2566.1999999999998"/>
    <x v="0"/>
    <x v="10"/>
    <x v="20"/>
  </r>
  <r>
    <d v="2021-11-24T00:00:00"/>
    <x v="13"/>
    <x v="2"/>
    <x v="1"/>
    <x v="1"/>
    <n v="11359"/>
    <n v="2044.62"/>
    <x v="0"/>
    <x v="10"/>
    <x v="20"/>
  </r>
  <r>
    <d v="2021-12-31T00:00:00"/>
    <x v="0"/>
    <x v="0"/>
    <x v="0"/>
    <x v="0"/>
    <n v="9217"/>
    <n v="3963.31"/>
    <x v="0"/>
    <x v="11"/>
    <x v="21"/>
  </r>
  <r>
    <d v="2021-12-31T00:00:00"/>
    <x v="1"/>
    <x v="2"/>
    <x v="0"/>
    <x v="0"/>
    <n v="4345"/>
    <n v="825.55"/>
    <x v="0"/>
    <x v="11"/>
    <x v="21"/>
  </r>
  <r>
    <d v="2021-12-30T00:00:00"/>
    <x v="2"/>
    <x v="2"/>
    <x v="0"/>
    <x v="1"/>
    <n v="9723"/>
    <n v="1555.68"/>
    <x v="0"/>
    <x v="11"/>
    <x v="21"/>
  </r>
  <r>
    <d v="2021-12-26T00:00:00"/>
    <x v="3"/>
    <x v="2"/>
    <x v="0"/>
    <x v="0"/>
    <n v="7952"/>
    <n v="2783.2"/>
    <x v="0"/>
    <x v="11"/>
    <x v="22"/>
  </r>
  <r>
    <d v="2021-12-25T00:00:00"/>
    <x v="4"/>
    <x v="2"/>
    <x v="0"/>
    <x v="1"/>
    <n v="6961"/>
    <n v="1531.42"/>
    <x v="0"/>
    <x v="11"/>
    <x v="22"/>
  </r>
  <r>
    <d v="2021-12-25T00:00:00"/>
    <x v="5"/>
    <x v="1"/>
    <x v="1"/>
    <x v="1"/>
    <n v="6548"/>
    <n v="1440.56"/>
    <x v="0"/>
    <x v="11"/>
    <x v="22"/>
  </r>
  <r>
    <d v="2021-12-25T00:00:00"/>
    <x v="6"/>
    <x v="2"/>
    <x v="0"/>
    <x v="1"/>
    <n v="3593"/>
    <n v="1077.9000000000001"/>
    <x v="0"/>
    <x v="11"/>
    <x v="22"/>
  </r>
  <r>
    <d v="2021-12-25T00:00:00"/>
    <x v="7"/>
    <x v="0"/>
    <x v="0"/>
    <x v="1"/>
    <n v="5853"/>
    <n v="1872.96"/>
    <x v="0"/>
    <x v="11"/>
    <x v="22"/>
  </r>
  <r>
    <d v="2021-12-24T00:00:00"/>
    <x v="8"/>
    <x v="1"/>
    <x v="0"/>
    <x v="1"/>
    <n v="5275"/>
    <n v="844"/>
    <x v="0"/>
    <x v="11"/>
    <x v="22"/>
  </r>
  <r>
    <d v="2021-12-30T00:00:00"/>
    <x v="9"/>
    <x v="2"/>
    <x v="1"/>
    <x v="0"/>
    <n v="11826"/>
    <n v="2601.7199999999998"/>
    <x v="0"/>
    <x v="11"/>
    <x v="21"/>
  </r>
  <r>
    <d v="2021-12-30T00:00:00"/>
    <x v="10"/>
    <x v="1"/>
    <x v="0"/>
    <x v="0"/>
    <n v="2409"/>
    <n v="385.44"/>
    <x v="0"/>
    <x v="11"/>
    <x v="21"/>
  </r>
  <r>
    <d v="2021-12-30T00:00:00"/>
    <x v="11"/>
    <x v="1"/>
    <x v="1"/>
    <x v="1"/>
    <n v="7454"/>
    <n v="2907.06"/>
    <x v="0"/>
    <x v="11"/>
    <x v="21"/>
  </r>
  <r>
    <d v="2021-12-30T00:00:00"/>
    <x v="12"/>
    <x v="1"/>
    <x v="1"/>
    <x v="1"/>
    <n v="9160"/>
    <n v="3572.4"/>
    <x v="0"/>
    <x v="11"/>
    <x v="21"/>
  </r>
  <r>
    <d v="2021-12-30T00:00:00"/>
    <x v="13"/>
    <x v="0"/>
    <x v="0"/>
    <x v="0"/>
    <n v="3444"/>
    <n v="723.24"/>
    <x v="0"/>
    <x v="11"/>
    <x v="21"/>
  </r>
  <r>
    <d v="2021-12-30T00:00:00"/>
    <x v="14"/>
    <x v="2"/>
    <x v="1"/>
    <x v="0"/>
    <n v="10015"/>
    <n v="2203.3000000000002"/>
    <x v="0"/>
    <x v="11"/>
    <x v="21"/>
  </r>
  <r>
    <d v="2021-12-30T00:00:00"/>
    <x v="15"/>
    <x v="2"/>
    <x v="1"/>
    <x v="1"/>
    <n v="9346"/>
    <n v="1869.2"/>
    <x v="0"/>
    <x v="11"/>
    <x v="21"/>
  </r>
  <r>
    <d v="2021-12-26T00:00:00"/>
    <x v="16"/>
    <x v="2"/>
    <x v="0"/>
    <x v="0"/>
    <n v="1088"/>
    <n v="348.16"/>
    <x v="0"/>
    <x v="11"/>
    <x v="22"/>
  </r>
  <r>
    <d v="2021-12-25T00:00:00"/>
    <x v="17"/>
    <x v="1"/>
    <x v="0"/>
    <x v="1"/>
    <n v="8624"/>
    <n v="2500.96"/>
    <x v="0"/>
    <x v="11"/>
    <x v="22"/>
  </r>
  <r>
    <d v="2021-12-25T00:00:00"/>
    <x v="18"/>
    <x v="2"/>
    <x v="1"/>
    <x v="1"/>
    <n v="5160"/>
    <n v="928.8"/>
    <x v="0"/>
    <x v="11"/>
    <x v="22"/>
  </r>
  <r>
    <d v="2021-12-25T00:00:00"/>
    <x v="19"/>
    <x v="0"/>
    <x v="0"/>
    <x v="1"/>
    <n v="3752"/>
    <n v="1238.1600000000001"/>
    <x v="0"/>
    <x v="11"/>
    <x v="22"/>
  </r>
  <r>
    <d v="2021-12-25T00:00:00"/>
    <x v="20"/>
    <x v="1"/>
    <x v="0"/>
    <x v="1"/>
    <n v="3376"/>
    <n v="1080.32"/>
    <x v="0"/>
    <x v="11"/>
    <x v="22"/>
  </r>
  <r>
    <d v="2021-12-25T00:00:00"/>
    <x v="21"/>
    <x v="0"/>
    <x v="0"/>
    <x v="1"/>
    <n v="8341"/>
    <n v="2085.25"/>
    <x v="0"/>
    <x v="11"/>
    <x v="22"/>
  </r>
  <r>
    <d v="2020-01-31T00:00:00"/>
    <x v="0"/>
    <x v="0"/>
    <x v="0"/>
    <x v="0"/>
    <n v="4423"/>
    <n v="707.68"/>
    <x v="1"/>
    <x v="0"/>
    <x v="0"/>
  </r>
  <r>
    <d v="2020-01-31T00:00:00"/>
    <x v="1"/>
    <x v="1"/>
    <x v="1"/>
    <x v="0"/>
    <n v="11716"/>
    <n v="1757.4"/>
    <x v="1"/>
    <x v="0"/>
    <x v="0"/>
  </r>
  <r>
    <d v="2020-01-31T00:00:00"/>
    <x v="2"/>
    <x v="2"/>
    <x v="1"/>
    <x v="1"/>
    <n v="1866"/>
    <n v="578.46"/>
    <x v="1"/>
    <x v="0"/>
    <x v="0"/>
  </r>
  <r>
    <d v="2020-01-31T00:00:00"/>
    <x v="3"/>
    <x v="1"/>
    <x v="0"/>
    <x v="1"/>
    <n v="4535"/>
    <n v="2040.75"/>
    <x v="1"/>
    <x v="0"/>
    <x v="0"/>
  </r>
  <r>
    <d v="2020-01-31T00:00:00"/>
    <x v="4"/>
    <x v="1"/>
    <x v="0"/>
    <x v="0"/>
    <n v="5924"/>
    <n v="2073.4"/>
    <x v="1"/>
    <x v="0"/>
    <x v="0"/>
  </r>
  <r>
    <d v="2020-01-31T00:00:00"/>
    <x v="5"/>
    <x v="1"/>
    <x v="0"/>
    <x v="0"/>
    <n v="4789"/>
    <n v="1388.81"/>
    <x v="1"/>
    <x v="0"/>
    <x v="0"/>
  </r>
  <r>
    <d v="2020-01-30T00:00:00"/>
    <x v="6"/>
    <x v="0"/>
    <x v="1"/>
    <x v="1"/>
    <n v="4853"/>
    <n v="1941.2"/>
    <x v="1"/>
    <x v="0"/>
    <x v="0"/>
  </r>
  <r>
    <d v="2020-01-26T00:00:00"/>
    <x v="7"/>
    <x v="1"/>
    <x v="1"/>
    <x v="0"/>
    <n v="6444"/>
    <n v="2706.48"/>
    <x v="1"/>
    <x v="0"/>
    <x v="1"/>
  </r>
  <r>
    <d v="2020-01-25T00:00:00"/>
    <x v="8"/>
    <x v="2"/>
    <x v="1"/>
    <x v="1"/>
    <n v="7286"/>
    <n v="1821.5"/>
    <x v="1"/>
    <x v="0"/>
    <x v="1"/>
  </r>
  <r>
    <d v="2020-01-25T00:00:00"/>
    <x v="9"/>
    <x v="0"/>
    <x v="1"/>
    <x v="1"/>
    <n v="5419"/>
    <n v="867.04"/>
    <x v="1"/>
    <x v="0"/>
    <x v="1"/>
  </r>
  <r>
    <d v="2020-01-25T00:00:00"/>
    <x v="10"/>
    <x v="1"/>
    <x v="1"/>
    <x v="1"/>
    <n v="8000"/>
    <n v="1280"/>
    <x v="1"/>
    <x v="0"/>
    <x v="1"/>
  </r>
  <r>
    <d v="2020-01-25T00:00:00"/>
    <x v="11"/>
    <x v="2"/>
    <x v="1"/>
    <x v="1"/>
    <n v="8240"/>
    <n v="1977.6"/>
    <x v="1"/>
    <x v="0"/>
    <x v="1"/>
  </r>
  <r>
    <d v="2020-01-24T00:00:00"/>
    <x v="12"/>
    <x v="2"/>
    <x v="1"/>
    <x v="1"/>
    <n v="6389"/>
    <n v="2683.38"/>
    <x v="1"/>
    <x v="0"/>
    <x v="1"/>
  </r>
  <r>
    <d v="2020-01-30T00:00:00"/>
    <x v="13"/>
    <x v="1"/>
    <x v="0"/>
    <x v="0"/>
    <n v="10115"/>
    <n v="4551.75"/>
    <x v="1"/>
    <x v="0"/>
    <x v="0"/>
  </r>
  <r>
    <d v="2020-01-30T00:00:00"/>
    <x v="14"/>
    <x v="1"/>
    <x v="0"/>
    <x v="0"/>
    <n v="8394"/>
    <n v="1426.98"/>
    <x v="1"/>
    <x v="0"/>
    <x v="0"/>
  </r>
  <r>
    <d v="2020-01-30T00:00:00"/>
    <x v="15"/>
    <x v="1"/>
    <x v="1"/>
    <x v="1"/>
    <n v="8462"/>
    <n v="1946.26"/>
    <x v="1"/>
    <x v="0"/>
    <x v="0"/>
  </r>
  <r>
    <d v="2020-01-30T00:00:00"/>
    <x v="16"/>
    <x v="0"/>
    <x v="0"/>
    <x v="1"/>
    <n v="10232"/>
    <n v="1841.76"/>
    <x v="1"/>
    <x v="0"/>
    <x v="0"/>
  </r>
  <r>
    <d v="2020-01-30T00:00:00"/>
    <x v="17"/>
    <x v="1"/>
    <x v="1"/>
    <x v="0"/>
    <n v="8316"/>
    <n v="2993.76"/>
    <x v="1"/>
    <x v="0"/>
    <x v="0"/>
  </r>
  <r>
    <d v="2020-01-30T00:00:00"/>
    <x v="18"/>
    <x v="1"/>
    <x v="0"/>
    <x v="0"/>
    <n v="5907"/>
    <n v="1890.24"/>
    <x v="1"/>
    <x v="0"/>
    <x v="0"/>
  </r>
  <r>
    <d v="2020-01-30T00:00:00"/>
    <x v="19"/>
    <x v="2"/>
    <x v="0"/>
    <x v="1"/>
    <n v="2050"/>
    <n v="512.5"/>
    <x v="1"/>
    <x v="0"/>
    <x v="0"/>
  </r>
  <r>
    <d v="2020-01-26T00:00:00"/>
    <x v="20"/>
    <x v="1"/>
    <x v="1"/>
    <x v="0"/>
    <n v="2597"/>
    <n v="415.52"/>
    <x v="1"/>
    <x v="0"/>
    <x v="1"/>
  </r>
  <r>
    <d v="2020-01-25T00:00:00"/>
    <x v="21"/>
    <x v="0"/>
    <x v="0"/>
    <x v="1"/>
    <n v="1054"/>
    <n v="231.88"/>
    <x v="1"/>
    <x v="0"/>
    <x v="1"/>
  </r>
  <r>
    <d v="2020-01-25T00:00:00"/>
    <x v="22"/>
    <x v="0"/>
    <x v="0"/>
    <x v="1"/>
    <n v="8805"/>
    <n v="2729.55"/>
    <x v="1"/>
    <x v="0"/>
    <x v="1"/>
  </r>
  <r>
    <d v="2020-01-25T00:00:00"/>
    <x v="23"/>
    <x v="0"/>
    <x v="1"/>
    <x v="1"/>
    <n v="2430"/>
    <n v="680.4"/>
    <x v="1"/>
    <x v="0"/>
    <x v="1"/>
  </r>
  <r>
    <d v="2020-01-25T00:00:00"/>
    <x v="24"/>
    <x v="2"/>
    <x v="0"/>
    <x v="1"/>
    <n v="11945"/>
    <n v="2508.4499999999998"/>
    <x v="1"/>
    <x v="0"/>
    <x v="1"/>
  </r>
  <r>
    <d v="2020-01-24T00:00:00"/>
    <x v="25"/>
    <x v="0"/>
    <x v="0"/>
    <x v="1"/>
    <n v="1493"/>
    <n v="253.81"/>
    <x v="1"/>
    <x v="0"/>
    <x v="1"/>
  </r>
  <r>
    <d v="2020-01-31T00:00:00"/>
    <x v="26"/>
    <x v="0"/>
    <x v="0"/>
    <x v="0"/>
    <n v="8392"/>
    <n v="3692.48"/>
    <x v="1"/>
    <x v="0"/>
    <x v="0"/>
  </r>
  <r>
    <d v="2020-01-31T00:00:00"/>
    <x v="27"/>
    <x v="0"/>
    <x v="0"/>
    <x v="0"/>
    <n v="5891"/>
    <n v="2120.7600000000002"/>
    <x v="1"/>
    <x v="0"/>
    <x v="0"/>
  </r>
  <r>
    <d v="2020-01-31T00:00:00"/>
    <x v="28"/>
    <x v="0"/>
    <x v="0"/>
    <x v="1"/>
    <n v="2381"/>
    <n v="476.2"/>
    <x v="1"/>
    <x v="0"/>
    <x v="0"/>
  </r>
  <r>
    <d v="2020-01-31T00:00:00"/>
    <x v="29"/>
    <x v="2"/>
    <x v="0"/>
    <x v="1"/>
    <n v="1989"/>
    <n v="616.59"/>
    <x v="1"/>
    <x v="0"/>
    <x v="0"/>
  </r>
  <r>
    <d v="2020-01-31T00:00:00"/>
    <x v="30"/>
    <x v="2"/>
    <x v="1"/>
    <x v="0"/>
    <n v="10160"/>
    <n v="2540"/>
    <x v="1"/>
    <x v="0"/>
    <x v="0"/>
  </r>
  <r>
    <d v="2020-01-31T00:00:00"/>
    <x v="31"/>
    <x v="2"/>
    <x v="1"/>
    <x v="0"/>
    <n v="11431"/>
    <n v="2400.5100000000002"/>
    <x v="1"/>
    <x v="0"/>
    <x v="0"/>
  </r>
  <r>
    <d v="2020-01-30T00:00:00"/>
    <x v="32"/>
    <x v="1"/>
    <x v="1"/>
    <x v="1"/>
    <n v="2879"/>
    <n v="950.07"/>
    <x v="1"/>
    <x v="0"/>
    <x v="0"/>
  </r>
  <r>
    <d v="2020-01-26T00:00:00"/>
    <x v="33"/>
    <x v="2"/>
    <x v="0"/>
    <x v="0"/>
    <n v="7116"/>
    <n v="1636.68"/>
    <x v="1"/>
    <x v="0"/>
    <x v="1"/>
  </r>
  <r>
    <d v="2020-01-25T00:00:00"/>
    <x v="34"/>
    <x v="0"/>
    <x v="0"/>
    <x v="1"/>
    <n v="7499"/>
    <n v="1874.75"/>
    <x v="1"/>
    <x v="0"/>
    <x v="1"/>
  </r>
  <r>
    <d v="2020-01-25T00:00:00"/>
    <x v="35"/>
    <x v="2"/>
    <x v="0"/>
    <x v="1"/>
    <n v="3043"/>
    <n v="1217.2"/>
    <x v="1"/>
    <x v="0"/>
    <x v="1"/>
  </r>
  <r>
    <d v="2020-01-25T00:00:00"/>
    <x v="36"/>
    <x v="0"/>
    <x v="1"/>
    <x v="1"/>
    <n v="6723"/>
    <n v="2084.13"/>
    <x v="1"/>
    <x v="0"/>
    <x v="1"/>
  </r>
  <r>
    <d v="2020-01-25T00:00:00"/>
    <x v="37"/>
    <x v="0"/>
    <x v="1"/>
    <x v="1"/>
    <n v="5137"/>
    <n v="2311.65"/>
    <x v="1"/>
    <x v="0"/>
    <x v="1"/>
  </r>
  <r>
    <d v="2020-01-24T00:00:00"/>
    <x v="38"/>
    <x v="2"/>
    <x v="1"/>
    <x v="1"/>
    <n v="9293"/>
    <n v="2416.1799999999998"/>
    <x v="1"/>
    <x v="0"/>
    <x v="1"/>
  </r>
  <r>
    <d v="2020-01-30T00:00:00"/>
    <x v="39"/>
    <x v="0"/>
    <x v="1"/>
    <x v="0"/>
    <n v="3028"/>
    <n v="1362.6"/>
    <x v="1"/>
    <x v="0"/>
    <x v="0"/>
  </r>
  <r>
    <d v="2020-01-30T00:00:00"/>
    <x v="40"/>
    <x v="2"/>
    <x v="1"/>
    <x v="0"/>
    <n v="6589"/>
    <n v="2635.6"/>
    <x v="1"/>
    <x v="0"/>
    <x v="0"/>
  </r>
  <r>
    <d v="2020-01-30T00:00:00"/>
    <x v="41"/>
    <x v="2"/>
    <x v="1"/>
    <x v="1"/>
    <n v="6863"/>
    <n v="1441.23"/>
    <x v="1"/>
    <x v="0"/>
    <x v="0"/>
  </r>
  <r>
    <d v="2020-01-30T00:00:00"/>
    <x v="42"/>
    <x v="2"/>
    <x v="0"/>
    <x v="1"/>
    <n v="1779"/>
    <n v="498.12"/>
    <x v="1"/>
    <x v="0"/>
    <x v="0"/>
  </r>
  <r>
    <d v="2020-01-30T00:00:00"/>
    <x v="43"/>
    <x v="2"/>
    <x v="1"/>
    <x v="0"/>
    <n v="10133"/>
    <n v="2938.57"/>
    <x v="1"/>
    <x v="0"/>
    <x v="0"/>
  </r>
  <r>
    <d v="2020-01-30T00:00:00"/>
    <x v="44"/>
    <x v="1"/>
    <x v="1"/>
    <x v="0"/>
    <n v="11454"/>
    <n v="4352.5200000000004"/>
    <x v="1"/>
    <x v="0"/>
    <x v="0"/>
  </r>
  <r>
    <d v="2020-01-30T00:00:00"/>
    <x v="45"/>
    <x v="2"/>
    <x v="1"/>
    <x v="1"/>
    <n v="1108"/>
    <n v="498.6"/>
    <x v="1"/>
    <x v="0"/>
    <x v="0"/>
  </r>
  <r>
    <d v="2020-01-26T00:00:00"/>
    <x v="46"/>
    <x v="0"/>
    <x v="0"/>
    <x v="0"/>
    <n v="10559"/>
    <n v="3062.11"/>
    <x v="1"/>
    <x v="0"/>
    <x v="1"/>
  </r>
  <r>
    <d v="2020-01-25T00:00:00"/>
    <x v="47"/>
    <x v="1"/>
    <x v="1"/>
    <x v="1"/>
    <n v="9829"/>
    <n v="4226.47"/>
    <x v="1"/>
    <x v="0"/>
    <x v="1"/>
  </r>
  <r>
    <d v="2020-01-25T00:00:00"/>
    <x v="48"/>
    <x v="2"/>
    <x v="0"/>
    <x v="1"/>
    <n v="1221"/>
    <n v="329.67"/>
    <x v="1"/>
    <x v="0"/>
    <x v="1"/>
  </r>
  <r>
    <d v="2020-01-25T00:00:00"/>
    <x v="49"/>
    <x v="1"/>
    <x v="0"/>
    <x v="1"/>
    <n v="5577"/>
    <n v="836.55"/>
    <x v="1"/>
    <x v="0"/>
    <x v="1"/>
  </r>
  <r>
    <d v="2020-01-25T00:00:00"/>
    <x v="50"/>
    <x v="1"/>
    <x v="0"/>
    <x v="1"/>
    <n v="8886"/>
    <n v="3820.98"/>
    <x v="1"/>
    <x v="0"/>
    <x v="1"/>
  </r>
  <r>
    <d v="2020-02-24T00:00:00"/>
    <x v="0"/>
    <x v="1"/>
    <x v="1"/>
    <x v="1"/>
    <n v="7279"/>
    <n v="1819.75"/>
    <x v="1"/>
    <x v="1"/>
    <x v="2"/>
  </r>
  <r>
    <d v="2020-02-24T00:00:00"/>
    <x v="1"/>
    <x v="0"/>
    <x v="1"/>
    <x v="0"/>
    <n v="5557"/>
    <n v="1500.39"/>
    <x v="1"/>
    <x v="1"/>
    <x v="2"/>
  </r>
  <r>
    <d v="2020-02-24T00:00:00"/>
    <x v="2"/>
    <x v="1"/>
    <x v="0"/>
    <x v="0"/>
    <n v="8830"/>
    <n v="1324.5"/>
    <x v="1"/>
    <x v="1"/>
    <x v="2"/>
  </r>
  <r>
    <d v="2020-02-24T00:00:00"/>
    <x v="3"/>
    <x v="2"/>
    <x v="1"/>
    <x v="1"/>
    <n v="7287"/>
    <n v="2258.9699999999998"/>
    <x v="1"/>
    <x v="1"/>
    <x v="2"/>
  </r>
  <r>
    <d v="2020-02-24T00:00:00"/>
    <x v="4"/>
    <x v="0"/>
    <x v="1"/>
    <x v="1"/>
    <n v="10491"/>
    <n v="4301.3100000000004"/>
    <x v="1"/>
    <x v="1"/>
    <x v="2"/>
  </r>
  <r>
    <d v="2020-02-24T00:00:00"/>
    <x v="5"/>
    <x v="1"/>
    <x v="1"/>
    <x v="0"/>
    <n v="3946"/>
    <n v="1538.94"/>
    <x v="1"/>
    <x v="1"/>
    <x v="2"/>
  </r>
  <r>
    <d v="2020-02-24T00:00:00"/>
    <x v="6"/>
    <x v="2"/>
    <x v="0"/>
    <x v="0"/>
    <n v="6429"/>
    <n v="1478.67"/>
    <x v="1"/>
    <x v="1"/>
    <x v="2"/>
  </r>
  <r>
    <d v="2020-02-24T00:00:00"/>
    <x v="7"/>
    <x v="2"/>
    <x v="0"/>
    <x v="1"/>
    <n v="2142"/>
    <n v="385.56"/>
    <x v="1"/>
    <x v="1"/>
    <x v="2"/>
  </r>
  <r>
    <d v="2020-02-24T00:00:00"/>
    <x v="8"/>
    <x v="1"/>
    <x v="1"/>
    <x v="0"/>
    <n v="10611"/>
    <n v="1909.98"/>
    <x v="1"/>
    <x v="1"/>
    <x v="2"/>
  </r>
  <r>
    <d v="2020-02-24T00:00:00"/>
    <x v="9"/>
    <x v="1"/>
    <x v="1"/>
    <x v="1"/>
    <n v="7137"/>
    <n v="2426.58"/>
    <x v="1"/>
    <x v="1"/>
    <x v="2"/>
  </r>
  <r>
    <d v="2020-02-24T00:00:00"/>
    <x v="10"/>
    <x v="1"/>
    <x v="0"/>
    <x v="1"/>
    <n v="5961"/>
    <n v="1132.5899999999999"/>
    <x v="1"/>
    <x v="1"/>
    <x v="2"/>
  </r>
  <r>
    <d v="2020-02-24T00:00:00"/>
    <x v="11"/>
    <x v="0"/>
    <x v="0"/>
    <x v="1"/>
    <n v="2247"/>
    <n v="606.69000000000005"/>
    <x v="1"/>
    <x v="1"/>
    <x v="2"/>
  </r>
  <r>
    <d v="2020-02-24T00:00:00"/>
    <x v="12"/>
    <x v="1"/>
    <x v="0"/>
    <x v="1"/>
    <n v="2391"/>
    <n v="645.57000000000005"/>
    <x v="1"/>
    <x v="1"/>
    <x v="2"/>
  </r>
  <r>
    <d v="2020-02-24T00:00:00"/>
    <x v="13"/>
    <x v="1"/>
    <x v="0"/>
    <x v="1"/>
    <n v="11406"/>
    <n v="2509.3200000000002"/>
    <x v="1"/>
    <x v="1"/>
    <x v="2"/>
  </r>
  <r>
    <d v="2020-02-24T00:00:00"/>
    <x v="14"/>
    <x v="2"/>
    <x v="0"/>
    <x v="0"/>
    <n v="3200"/>
    <n v="1120"/>
    <x v="1"/>
    <x v="1"/>
    <x v="2"/>
  </r>
  <r>
    <d v="2020-02-24T00:00:00"/>
    <x v="15"/>
    <x v="1"/>
    <x v="1"/>
    <x v="0"/>
    <n v="2329"/>
    <n v="558.96"/>
    <x v="1"/>
    <x v="1"/>
    <x v="2"/>
  </r>
  <r>
    <d v="2020-02-24T00:00:00"/>
    <x v="16"/>
    <x v="0"/>
    <x v="0"/>
    <x v="1"/>
    <n v="8122"/>
    <n v="1380.74"/>
    <x v="1"/>
    <x v="1"/>
    <x v="2"/>
  </r>
  <r>
    <d v="2020-02-24T00:00:00"/>
    <x v="17"/>
    <x v="0"/>
    <x v="0"/>
    <x v="1"/>
    <n v="1495"/>
    <n v="239.2"/>
    <x v="1"/>
    <x v="1"/>
    <x v="2"/>
  </r>
  <r>
    <d v="2020-02-24T00:00:00"/>
    <x v="18"/>
    <x v="0"/>
    <x v="1"/>
    <x v="0"/>
    <n v="6254"/>
    <n v="1000.64"/>
    <x v="1"/>
    <x v="1"/>
    <x v="2"/>
  </r>
  <r>
    <d v="2020-02-24T00:00:00"/>
    <x v="19"/>
    <x v="2"/>
    <x v="0"/>
    <x v="0"/>
    <n v="5496"/>
    <n v="1593.84"/>
    <x v="1"/>
    <x v="1"/>
    <x v="2"/>
  </r>
  <r>
    <d v="2020-02-24T00:00:00"/>
    <x v="20"/>
    <x v="0"/>
    <x v="1"/>
    <x v="1"/>
    <n v="1644"/>
    <n v="246.6"/>
    <x v="1"/>
    <x v="1"/>
    <x v="2"/>
  </r>
  <r>
    <d v="2020-02-24T00:00:00"/>
    <x v="21"/>
    <x v="0"/>
    <x v="0"/>
    <x v="0"/>
    <n v="11189"/>
    <n v="2461.58"/>
    <x v="1"/>
    <x v="1"/>
    <x v="2"/>
  </r>
  <r>
    <d v="2020-02-24T00:00:00"/>
    <x v="22"/>
    <x v="2"/>
    <x v="0"/>
    <x v="1"/>
    <n v="4571"/>
    <n v="1828.4"/>
    <x v="1"/>
    <x v="1"/>
    <x v="2"/>
  </r>
  <r>
    <d v="2020-02-24T00:00:00"/>
    <x v="23"/>
    <x v="0"/>
    <x v="0"/>
    <x v="1"/>
    <n v="9472"/>
    <n v="1610.24"/>
    <x v="1"/>
    <x v="1"/>
    <x v="2"/>
  </r>
  <r>
    <d v="2020-02-24T00:00:00"/>
    <x v="24"/>
    <x v="2"/>
    <x v="0"/>
    <x v="1"/>
    <n v="1356"/>
    <n v="284.76"/>
    <x v="1"/>
    <x v="1"/>
    <x v="2"/>
  </r>
  <r>
    <d v="2020-02-24T00:00:00"/>
    <x v="25"/>
    <x v="2"/>
    <x v="1"/>
    <x v="1"/>
    <n v="4930"/>
    <n v="887.4"/>
    <x v="1"/>
    <x v="1"/>
    <x v="2"/>
  </r>
  <r>
    <d v="2020-02-24T00:00:00"/>
    <x v="26"/>
    <x v="2"/>
    <x v="0"/>
    <x v="1"/>
    <n v="6982"/>
    <n v="2792.8"/>
    <x v="1"/>
    <x v="1"/>
    <x v="2"/>
  </r>
  <r>
    <d v="2020-02-24T00:00:00"/>
    <x v="27"/>
    <x v="2"/>
    <x v="1"/>
    <x v="0"/>
    <n v="11618"/>
    <n v="3717.76"/>
    <x v="1"/>
    <x v="1"/>
    <x v="2"/>
  </r>
  <r>
    <d v="2020-02-24T00:00:00"/>
    <x v="28"/>
    <x v="1"/>
    <x v="0"/>
    <x v="0"/>
    <n v="6667"/>
    <n v="1066.72"/>
    <x v="1"/>
    <x v="1"/>
    <x v="2"/>
  </r>
  <r>
    <d v="2020-02-24T00:00:00"/>
    <x v="29"/>
    <x v="2"/>
    <x v="1"/>
    <x v="1"/>
    <n v="2394"/>
    <n v="383.04"/>
    <x v="1"/>
    <x v="1"/>
    <x v="2"/>
  </r>
  <r>
    <d v="2020-02-24T00:00:00"/>
    <x v="30"/>
    <x v="0"/>
    <x v="0"/>
    <x v="1"/>
    <n v="6863"/>
    <n v="3019.72"/>
    <x v="1"/>
    <x v="1"/>
    <x v="2"/>
  </r>
  <r>
    <d v="2020-02-24T00:00:00"/>
    <x v="31"/>
    <x v="1"/>
    <x v="1"/>
    <x v="0"/>
    <n v="2528"/>
    <n v="429.76"/>
    <x v="1"/>
    <x v="1"/>
    <x v="2"/>
  </r>
  <r>
    <d v="2020-02-24T00:00:00"/>
    <x v="32"/>
    <x v="2"/>
    <x v="0"/>
    <x v="0"/>
    <n v="4900"/>
    <n v="1911"/>
    <x v="1"/>
    <x v="1"/>
    <x v="2"/>
  </r>
  <r>
    <d v="2020-03-30T00:00:00"/>
    <x v="0"/>
    <x v="1"/>
    <x v="0"/>
    <x v="1"/>
    <n v="1826"/>
    <n v="803.44"/>
    <x v="1"/>
    <x v="2"/>
    <x v="3"/>
  </r>
  <r>
    <d v="2020-03-26T00:00:00"/>
    <x v="1"/>
    <x v="1"/>
    <x v="1"/>
    <x v="0"/>
    <n v="5218"/>
    <n v="2035.02"/>
    <x v="1"/>
    <x v="2"/>
    <x v="4"/>
  </r>
  <r>
    <d v="2020-03-25T00:00:00"/>
    <x v="2"/>
    <x v="1"/>
    <x v="0"/>
    <x v="1"/>
    <n v="3188"/>
    <n v="733.24"/>
    <x v="1"/>
    <x v="2"/>
    <x v="4"/>
  </r>
  <r>
    <d v="2020-03-25T00:00:00"/>
    <x v="3"/>
    <x v="0"/>
    <x v="1"/>
    <x v="1"/>
    <n v="11932"/>
    <n v="2744.36"/>
    <x v="1"/>
    <x v="2"/>
    <x v="4"/>
  </r>
  <r>
    <d v="2020-03-25T00:00:00"/>
    <x v="4"/>
    <x v="1"/>
    <x v="0"/>
    <x v="1"/>
    <n v="6950"/>
    <n v="2224"/>
    <x v="1"/>
    <x v="2"/>
    <x v="4"/>
  </r>
  <r>
    <d v="2020-03-25T00:00:00"/>
    <x v="5"/>
    <x v="2"/>
    <x v="0"/>
    <x v="1"/>
    <n v="2435"/>
    <n v="730.5"/>
    <x v="1"/>
    <x v="2"/>
    <x v="4"/>
  </r>
  <r>
    <d v="2020-03-24T00:00:00"/>
    <x v="6"/>
    <x v="0"/>
    <x v="1"/>
    <x v="1"/>
    <n v="4495"/>
    <n v="1573.25"/>
    <x v="1"/>
    <x v="2"/>
    <x v="4"/>
  </r>
  <r>
    <d v="2020-03-30T00:00:00"/>
    <x v="7"/>
    <x v="1"/>
    <x v="0"/>
    <x v="0"/>
    <n v="10100"/>
    <n v="1616"/>
    <x v="1"/>
    <x v="2"/>
    <x v="3"/>
  </r>
  <r>
    <d v="2020-03-30T00:00:00"/>
    <x v="8"/>
    <x v="2"/>
    <x v="0"/>
    <x v="0"/>
    <n v="1373"/>
    <n v="288.33"/>
    <x v="1"/>
    <x v="2"/>
    <x v="3"/>
  </r>
  <r>
    <d v="2020-03-30T00:00:00"/>
    <x v="9"/>
    <x v="2"/>
    <x v="0"/>
    <x v="1"/>
    <n v="8815"/>
    <n v="1322.25"/>
    <x v="1"/>
    <x v="2"/>
    <x v="3"/>
  </r>
  <r>
    <d v="2020-03-30T00:00:00"/>
    <x v="10"/>
    <x v="1"/>
    <x v="1"/>
    <x v="1"/>
    <n v="2781"/>
    <n v="556.20000000000005"/>
    <x v="1"/>
    <x v="2"/>
    <x v="3"/>
  </r>
  <r>
    <d v="2020-03-30T00:00:00"/>
    <x v="11"/>
    <x v="1"/>
    <x v="0"/>
    <x v="0"/>
    <n v="7575"/>
    <n v="1742.25"/>
    <x v="1"/>
    <x v="2"/>
    <x v="3"/>
  </r>
  <r>
    <d v="2020-03-30T00:00:00"/>
    <x v="12"/>
    <x v="1"/>
    <x v="1"/>
    <x v="0"/>
    <n v="6818"/>
    <n v="2659.02"/>
    <x v="1"/>
    <x v="2"/>
    <x v="3"/>
  </r>
  <r>
    <d v="2020-03-30T00:00:00"/>
    <x v="13"/>
    <x v="0"/>
    <x v="1"/>
    <x v="1"/>
    <n v="1947"/>
    <n v="700.92"/>
    <x v="1"/>
    <x v="2"/>
    <x v="3"/>
  </r>
  <r>
    <d v="2020-03-26T00:00:00"/>
    <x v="14"/>
    <x v="0"/>
    <x v="0"/>
    <x v="0"/>
    <n v="10919"/>
    <n v="3712.46"/>
    <x v="1"/>
    <x v="2"/>
    <x v="4"/>
  </r>
  <r>
    <d v="2020-03-25T00:00:00"/>
    <x v="15"/>
    <x v="1"/>
    <x v="0"/>
    <x v="1"/>
    <n v="8167"/>
    <n v="3348.47"/>
    <x v="1"/>
    <x v="2"/>
    <x v="4"/>
  </r>
  <r>
    <d v="2020-03-25T00:00:00"/>
    <x v="16"/>
    <x v="2"/>
    <x v="1"/>
    <x v="1"/>
    <n v="5909"/>
    <n v="1299.98"/>
    <x v="1"/>
    <x v="2"/>
    <x v="4"/>
  </r>
  <r>
    <d v="2020-03-25T00:00:00"/>
    <x v="17"/>
    <x v="2"/>
    <x v="1"/>
    <x v="1"/>
    <n v="8508"/>
    <n v="1361.28"/>
    <x v="1"/>
    <x v="2"/>
    <x v="4"/>
  </r>
  <r>
    <d v="2020-03-25T00:00:00"/>
    <x v="18"/>
    <x v="1"/>
    <x v="1"/>
    <x v="1"/>
    <n v="10706"/>
    <n v="4282.3999999999996"/>
    <x v="1"/>
    <x v="2"/>
    <x v="4"/>
  </r>
  <r>
    <d v="2020-03-24T00:00:00"/>
    <x v="19"/>
    <x v="1"/>
    <x v="0"/>
    <x v="1"/>
    <n v="6256"/>
    <n v="1000.96"/>
    <x v="1"/>
    <x v="2"/>
    <x v="4"/>
  </r>
  <r>
    <d v="2020-03-31T00:00:00"/>
    <x v="20"/>
    <x v="1"/>
    <x v="1"/>
    <x v="0"/>
    <n v="2440"/>
    <n v="1024.8"/>
    <x v="1"/>
    <x v="2"/>
    <x v="3"/>
  </r>
  <r>
    <d v="2020-03-31T00:00:00"/>
    <x v="21"/>
    <x v="0"/>
    <x v="0"/>
    <x v="0"/>
    <n v="11442"/>
    <n v="2974.92"/>
    <x v="1"/>
    <x v="2"/>
    <x v="3"/>
  </r>
  <r>
    <d v="2020-03-31T00:00:00"/>
    <x v="22"/>
    <x v="1"/>
    <x v="0"/>
    <x v="1"/>
    <n v="2188"/>
    <n v="787.68"/>
    <x v="1"/>
    <x v="2"/>
    <x v="3"/>
  </r>
  <r>
    <d v="2020-04-30T00:00:00"/>
    <x v="0"/>
    <x v="1"/>
    <x v="0"/>
    <x v="1"/>
    <n v="10680"/>
    <n v="3417.6"/>
    <x v="1"/>
    <x v="3"/>
    <x v="5"/>
  </r>
  <r>
    <d v="2020-04-30T00:00:00"/>
    <x v="1"/>
    <x v="2"/>
    <x v="0"/>
    <x v="0"/>
    <n v="7884"/>
    <n v="2601.7199999999998"/>
    <x v="1"/>
    <x v="3"/>
    <x v="5"/>
  </r>
  <r>
    <d v="2020-04-30T00:00:00"/>
    <x v="2"/>
    <x v="1"/>
    <x v="0"/>
    <x v="0"/>
    <n v="9392"/>
    <n v="2348"/>
    <x v="1"/>
    <x v="3"/>
    <x v="5"/>
  </r>
  <r>
    <d v="2020-04-30T00:00:00"/>
    <x v="3"/>
    <x v="0"/>
    <x v="0"/>
    <x v="1"/>
    <n v="3499"/>
    <n v="1399.6"/>
    <x v="1"/>
    <x v="3"/>
    <x v="5"/>
  </r>
  <r>
    <d v="2020-04-26T00:00:00"/>
    <x v="4"/>
    <x v="0"/>
    <x v="0"/>
    <x v="0"/>
    <n v="1906"/>
    <n v="285.89999999999998"/>
    <x v="1"/>
    <x v="3"/>
    <x v="6"/>
  </r>
  <r>
    <d v="2020-04-25T00:00:00"/>
    <x v="5"/>
    <x v="0"/>
    <x v="1"/>
    <x v="1"/>
    <n v="11046"/>
    <n v="3313.8"/>
    <x v="1"/>
    <x v="3"/>
    <x v="6"/>
  </r>
  <r>
    <d v="2020-04-25T00:00:00"/>
    <x v="6"/>
    <x v="2"/>
    <x v="1"/>
    <x v="1"/>
    <n v="9987"/>
    <n v="1697.79"/>
    <x v="1"/>
    <x v="3"/>
    <x v="6"/>
  </r>
  <r>
    <d v="2020-04-25T00:00:00"/>
    <x v="7"/>
    <x v="0"/>
    <x v="0"/>
    <x v="1"/>
    <n v="7574"/>
    <n v="2423.6799999999998"/>
    <x v="1"/>
    <x v="3"/>
    <x v="6"/>
  </r>
  <r>
    <d v="2020-04-25T00:00:00"/>
    <x v="8"/>
    <x v="0"/>
    <x v="1"/>
    <x v="1"/>
    <n v="6522"/>
    <n v="2804.46"/>
    <x v="1"/>
    <x v="3"/>
    <x v="6"/>
  </r>
  <r>
    <d v="2020-04-24T00:00:00"/>
    <x v="9"/>
    <x v="2"/>
    <x v="0"/>
    <x v="1"/>
    <n v="1223"/>
    <n v="391.36"/>
    <x v="1"/>
    <x v="3"/>
    <x v="6"/>
  </r>
  <r>
    <d v="2020-04-30T00:00:00"/>
    <x v="10"/>
    <x v="0"/>
    <x v="0"/>
    <x v="0"/>
    <n v="4230"/>
    <n v="1395.9"/>
    <x v="1"/>
    <x v="3"/>
    <x v="5"/>
  </r>
  <r>
    <d v="2020-04-30T00:00:00"/>
    <x v="11"/>
    <x v="2"/>
    <x v="0"/>
    <x v="0"/>
    <n v="8925"/>
    <n v="2499"/>
    <x v="1"/>
    <x v="3"/>
    <x v="5"/>
  </r>
  <r>
    <d v="2020-04-30T00:00:00"/>
    <x v="12"/>
    <x v="2"/>
    <x v="1"/>
    <x v="1"/>
    <n v="7826"/>
    <n v="2739.1"/>
    <x v="1"/>
    <x v="3"/>
    <x v="5"/>
  </r>
  <r>
    <d v="2020-04-30T00:00:00"/>
    <x v="13"/>
    <x v="2"/>
    <x v="0"/>
    <x v="1"/>
    <n v="9201"/>
    <n v="2944.32"/>
    <x v="1"/>
    <x v="3"/>
    <x v="5"/>
  </r>
  <r>
    <d v="2020-04-30T00:00:00"/>
    <x v="14"/>
    <x v="2"/>
    <x v="1"/>
    <x v="0"/>
    <n v="3229"/>
    <n v="516.64"/>
    <x v="1"/>
    <x v="3"/>
    <x v="5"/>
  </r>
  <r>
    <d v="2020-04-30T00:00:00"/>
    <x v="15"/>
    <x v="1"/>
    <x v="1"/>
    <x v="0"/>
    <n v="7902"/>
    <n v="2765.7"/>
    <x v="1"/>
    <x v="3"/>
    <x v="5"/>
  </r>
  <r>
    <d v="2020-04-30T00:00:00"/>
    <x v="16"/>
    <x v="2"/>
    <x v="1"/>
    <x v="1"/>
    <n v="5020"/>
    <n v="1957.8"/>
    <x v="1"/>
    <x v="3"/>
    <x v="5"/>
  </r>
  <r>
    <d v="2020-04-26T00:00:00"/>
    <x v="17"/>
    <x v="0"/>
    <x v="0"/>
    <x v="0"/>
    <n v="3295"/>
    <n v="691.95"/>
    <x v="1"/>
    <x v="3"/>
    <x v="6"/>
  </r>
  <r>
    <d v="2020-04-25T00:00:00"/>
    <x v="18"/>
    <x v="1"/>
    <x v="0"/>
    <x v="1"/>
    <n v="6450"/>
    <n v="1806"/>
    <x v="1"/>
    <x v="3"/>
    <x v="6"/>
  </r>
  <r>
    <d v="2020-04-25T00:00:00"/>
    <x v="19"/>
    <x v="2"/>
    <x v="0"/>
    <x v="1"/>
    <n v="1602"/>
    <n v="448.56"/>
    <x v="1"/>
    <x v="3"/>
    <x v="6"/>
  </r>
  <r>
    <d v="2020-04-25T00:00:00"/>
    <x v="20"/>
    <x v="1"/>
    <x v="0"/>
    <x v="1"/>
    <n v="10835"/>
    <n v="2275.35"/>
    <x v="1"/>
    <x v="3"/>
    <x v="6"/>
  </r>
  <r>
    <d v="2020-04-25T00:00:00"/>
    <x v="21"/>
    <x v="1"/>
    <x v="1"/>
    <x v="1"/>
    <n v="10468"/>
    <n v="2093.6"/>
    <x v="1"/>
    <x v="3"/>
    <x v="6"/>
  </r>
  <r>
    <d v="2020-04-24T00:00:00"/>
    <x v="22"/>
    <x v="1"/>
    <x v="0"/>
    <x v="1"/>
    <n v="4110"/>
    <n v="1356.3"/>
    <x v="1"/>
    <x v="3"/>
    <x v="6"/>
  </r>
  <r>
    <d v="2020-05-31T00:00:00"/>
    <x v="0"/>
    <x v="0"/>
    <x v="0"/>
    <x v="0"/>
    <n v="9514"/>
    <n v="1427.1"/>
    <x v="1"/>
    <x v="4"/>
    <x v="8"/>
  </r>
  <r>
    <d v="2020-05-31T00:00:00"/>
    <x v="1"/>
    <x v="1"/>
    <x v="1"/>
    <x v="0"/>
    <n v="8796"/>
    <n v="3694.32"/>
    <x v="1"/>
    <x v="4"/>
    <x v="8"/>
  </r>
  <r>
    <d v="2020-05-31T00:00:00"/>
    <x v="2"/>
    <x v="2"/>
    <x v="1"/>
    <x v="1"/>
    <n v="6865"/>
    <n v="1510.3"/>
    <x v="1"/>
    <x v="4"/>
    <x v="8"/>
  </r>
  <r>
    <d v="2020-05-31T00:00:00"/>
    <x v="3"/>
    <x v="0"/>
    <x v="0"/>
    <x v="1"/>
    <n v="1379"/>
    <n v="262.01"/>
    <x v="1"/>
    <x v="4"/>
    <x v="8"/>
  </r>
  <r>
    <d v="2020-05-31T00:00:00"/>
    <x v="4"/>
    <x v="1"/>
    <x v="1"/>
    <x v="0"/>
    <n v="2857"/>
    <n v="542.83000000000004"/>
    <x v="1"/>
    <x v="4"/>
    <x v="8"/>
  </r>
  <r>
    <d v="2020-05-31T00:00:00"/>
    <x v="5"/>
    <x v="1"/>
    <x v="1"/>
    <x v="0"/>
    <n v="9092"/>
    <n v="3545.88"/>
    <x v="1"/>
    <x v="4"/>
    <x v="8"/>
  </r>
  <r>
    <d v="2020-05-30T00:00:00"/>
    <x v="6"/>
    <x v="0"/>
    <x v="1"/>
    <x v="1"/>
    <n v="4101"/>
    <n v="1435.35"/>
    <x v="1"/>
    <x v="4"/>
    <x v="8"/>
  </r>
  <r>
    <d v="2020-05-26T00:00:00"/>
    <x v="7"/>
    <x v="1"/>
    <x v="1"/>
    <x v="0"/>
    <n v="7951"/>
    <n v="2941.87"/>
    <x v="1"/>
    <x v="4"/>
    <x v="8"/>
  </r>
  <r>
    <d v="2020-05-25T00:00:00"/>
    <x v="8"/>
    <x v="2"/>
    <x v="1"/>
    <x v="1"/>
    <n v="4621"/>
    <n v="1155.25"/>
    <x v="1"/>
    <x v="4"/>
    <x v="8"/>
  </r>
  <r>
    <d v="2020-05-25T00:00:00"/>
    <x v="9"/>
    <x v="0"/>
    <x v="1"/>
    <x v="1"/>
    <n v="6288"/>
    <n v="2200.8000000000002"/>
    <x v="1"/>
    <x v="4"/>
    <x v="8"/>
  </r>
  <r>
    <d v="2020-05-25T00:00:00"/>
    <x v="10"/>
    <x v="1"/>
    <x v="0"/>
    <x v="1"/>
    <n v="9693"/>
    <n v="3004.83"/>
    <x v="1"/>
    <x v="4"/>
    <x v="8"/>
  </r>
  <r>
    <d v="2020-05-25T00:00:00"/>
    <x v="11"/>
    <x v="2"/>
    <x v="0"/>
    <x v="1"/>
    <n v="9220"/>
    <n v="2489.4"/>
    <x v="1"/>
    <x v="4"/>
    <x v="8"/>
  </r>
  <r>
    <d v="2020-05-24T00:00:00"/>
    <x v="12"/>
    <x v="2"/>
    <x v="1"/>
    <x v="1"/>
    <n v="2309"/>
    <n v="969.78"/>
    <x v="1"/>
    <x v="4"/>
    <x v="23"/>
  </r>
  <r>
    <d v="2020-06-30T00:00:00"/>
    <x v="0"/>
    <x v="1"/>
    <x v="0"/>
    <x v="0"/>
    <n v="8311"/>
    <n v="2327.08"/>
    <x v="1"/>
    <x v="5"/>
    <x v="9"/>
  </r>
  <r>
    <d v="2020-06-30T00:00:00"/>
    <x v="1"/>
    <x v="1"/>
    <x v="0"/>
    <x v="0"/>
    <n v="7846"/>
    <n v="3295.32"/>
    <x v="1"/>
    <x v="5"/>
    <x v="9"/>
  </r>
  <r>
    <d v="2020-06-30T00:00:00"/>
    <x v="2"/>
    <x v="1"/>
    <x v="0"/>
    <x v="1"/>
    <n v="4241"/>
    <n v="1484.35"/>
    <x v="1"/>
    <x v="5"/>
    <x v="9"/>
  </r>
  <r>
    <d v="2020-06-30T00:00:00"/>
    <x v="3"/>
    <x v="0"/>
    <x v="1"/>
    <x v="1"/>
    <n v="1981"/>
    <n v="812.21"/>
    <x v="1"/>
    <x v="5"/>
    <x v="9"/>
  </r>
  <r>
    <d v="2020-06-30T00:00:00"/>
    <x v="4"/>
    <x v="0"/>
    <x v="0"/>
    <x v="0"/>
    <n v="3910"/>
    <n v="1016.6"/>
    <x v="1"/>
    <x v="5"/>
    <x v="9"/>
  </r>
  <r>
    <d v="2020-06-30T00:00:00"/>
    <x v="5"/>
    <x v="1"/>
    <x v="0"/>
    <x v="0"/>
    <n v="2400"/>
    <n v="360"/>
    <x v="1"/>
    <x v="5"/>
    <x v="9"/>
  </r>
  <r>
    <d v="2020-06-30T00:00:00"/>
    <x v="6"/>
    <x v="2"/>
    <x v="1"/>
    <x v="1"/>
    <n v="1269"/>
    <n v="304.56"/>
    <x v="1"/>
    <x v="5"/>
    <x v="9"/>
  </r>
  <r>
    <d v="2020-06-26T00:00:00"/>
    <x v="7"/>
    <x v="2"/>
    <x v="0"/>
    <x v="0"/>
    <n v="11308"/>
    <n v="2600.84"/>
    <x v="1"/>
    <x v="5"/>
    <x v="10"/>
  </r>
  <r>
    <d v="2020-06-25T00:00:00"/>
    <x v="8"/>
    <x v="1"/>
    <x v="1"/>
    <x v="1"/>
    <n v="7912"/>
    <n v="3402.16"/>
    <x v="1"/>
    <x v="5"/>
    <x v="10"/>
  </r>
  <r>
    <d v="2020-06-25T00:00:00"/>
    <x v="9"/>
    <x v="1"/>
    <x v="1"/>
    <x v="1"/>
    <n v="6983"/>
    <n v="1396.6"/>
    <x v="1"/>
    <x v="5"/>
    <x v="10"/>
  </r>
  <r>
    <d v="2020-06-25T00:00:00"/>
    <x v="10"/>
    <x v="1"/>
    <x v="1"/>
    <x v="1"/>
    <n v="7088"/>
    <n v="3047.84"/>
    <x v="1"/>
    <x v="5"/>
    <x v="10"/>
  </r>
  <r>
    <d v="2020-06-25T00:00:00"/>
    <x v="11"/>
    <x v="0"/>
    <x v="0"/>
    <x v="1"/>
    <n v="9803"/>
    <n v="3921.2"/>
    <x v="1"/>
    <x v="5"/>
    <x v="10"/>
  </r>
  <r>
    <d v="2020-06-24T00:00:00"/>
    <x v="12"/>
    <x v="1"/>
    <x v="1"/>
    <x v="1"/>
    <n v="2256"/>
    <n v="518.88"/>
    <x v="1"/>
    <x v="5"/>
    <x v="10"/>
  </r>
  <r>
    <d v="2020-06-24T00:00:00"/>
    <x v="13"/>
    <x v="1"/>
    <x v="0"/>
    <x v="0"/>
    <n v="6339"/>
    <n v="1965.09"/>
    <x v="1"/>
    <x v="5"/>
    <x v="10"/>
  </r>
  <r>
    <d v="2020-06-24T00:00:00"/>
    <x v="14"/>
    <x v="2"/>
    <x v="0"/>
    <x v="0"/>
    <n v="9282"/>
    <n v="1485.12"/>
    <x v="1"/>
    <x v="5"/>
    <x v="10"/>
  </r>
  <r>
    <d v="2020-07-31T00:00:00"/>
    <x v="0"/>
    <x v="1"/>
    <x v="0"/>
    <x v="1"/>
    <n v="9405"/>
    <n v="3291.75"/>
    <x v="1"/>
    <x v="6"/>
    <x v="11"/>
  </r>
  <r>
    <d v="2020-07-31T00:00:00"/>
    <x v="1"/>
    <x v="0"/>
    <x v="0"/>
    <x v="1"/>
    <n v="2132"/>
    <n v="746.2"/>
    <x v="1"/>
    <x v="6"/>
    <x v="11"/>
  </r>
  <r>
    <d v="2020-07-31T00:00:00"/>
    <x v="2"/>
    <x v="0"/>
    <x v="1"/>
    <x v="0"/>
    <n v="2169"/>
    <n v="759.15"/>
    <x v="1"/>
    <x v="6"/>
    <x v="11"/>
  </r>
  <r>
    <d v="2020-07-31T00:00:00"/>
    <x v="3"/>
    <x v="0"/>
    <x v="0"/>
    <x v="0"/>
    <n v="4280"/>
    <n v="642"/>
    <x v="1"/>
    <x v="6"/>
    <x v="11"/>
  </r>
  <r>
    <d v="2020-07-30T00:00:00"/>
    <x v="4"/>
    <x v="2"/>
    <x v="1"/>
    <x v="1"/>
    <n v="2224"/>
    <n v="378.08"/>
    <x v="1"/>
    <x v="6"/>
    <x v="11"/>
  </r>
  <r>
    <d v="2020-07-26T00:00:00"/>
    <x v="5"/>
    <x v="0"/>
    <x v="1"/>
    <x v="0"/>
    <n v="2169"/>
    <n v="433.8"/>
    <x v="1"/>
    <x v="6"/>
    <x v="12"/>
  </r>
  <r>
    <d v="2020-07-25T00:00:00"/>
    <x v="6"/>
    <x v="0"/>
    <x v="0"/>
    <x v="1"/>
    <n v="8720"/>
    <n v="1569.6"/>
    <x v="1"/>
    <x v="6"/>
    <x v="12"/>
  </r>
  <r>
    <d v="2020-07-25T00:00:00"/>
    <x v="7"/>
    <x v="2"/>
    <x v="0"/>
    <x v="1"/>
    <n v="9393"/>
    <n v="2442.1799999999998"/>
    <x v="1"/>
    <x v="6"/>
    <x v="12"/>
  </r>
  <r>
    <d v="2020-07-25T00:00:00"/>
    <x v="8"/>
    <x v="0"/>
    <x v="0"/>
    <x v="1"/>
    <n v="7576"/>
    <n v="2803.12"/>
    <x v="1"/>
    <x v="6"/>
    <x v="12"/>
  </r>
  <r>
    <d v="2020-07-25T00:00:00"/>
    <x v="9"/>
    <x v="2"/>
    <x v="1"/>
    <x v="1"/>
    <n v="3557"/>
    <n v="1138.24"/>
    <x v="1"/>
    <x v="6"/>
    <x v="12"/>
  </r>
  <r>
    <d v="2020-07-24T00:00:00"/>
    <x v="10"/>
    <x v="2"/>
    <x v="0"/>
    <x v="1"/>
    <n v="11855"/>
    <n v="4623.45"/>
    <x v="1"/>
    <x v="6"/>
    <x v="12"/>
  </r>
  <r>
    <d v="2020-07-30T00:00:00"/>
    <x v="11"/>
    <x v="2"/>
    <x v="0"/>
    <x v="0"/>
    <n v="9193"/>
    <n v="3677.2"/>
    <x v="1"/>
    <x v="6"/>
    <x v="11"/>
  </r>
  <r>
    <d v="2020-07-30T00:00:00"/>
    <x v="12"/>
    <x v="2"/>
    <x v="1"/>
    <x v="0"/>
    <n v="4358"/>
    <n v="1612.46"/>
    <x v="1"/>
    <x v="6"/>
    <x v="11"/>
  </r>
  <r>
    <d v="2020-07-30T00:00:00"/>
    <x v="13"/>
    <x v="1"/>
    <x v="0"/>
    <x v="1"/>
    <n v="5418"/>
    <n v="2113.02"/>
    <x v="1"/>
    <x v="6"/>
    <x v="11"/>
  </r>
  <r>
    <d v="2020-07-30T00:00:00"/>
    <x v="14"/>
    <x v="2"/>
    <x v="1"/>
    <x v="1"/>
    <n v="4975"/>
    <n v="2189"/>
    <x v="1"/>
    <x v="6"/>
    <x v="11"/>
  </r>
  <r>
    <d v="2020-07-30T00:00:00"/>
    <x v="15"/>
    <x v="0"/>
    <x v="1"/>
    <x v="0"/>
    <n v="7984"/>
    <n v="1916.16"/>
    <x v="1"/>
    <x v="6"/>
    <x v="11"/>
  </r>
  <r>
    <d v="2020-07-30T00:00:00"/>
    <x v="16"/>
    <x v="1"/>
    <x v="1"/>
    <x v="0"/>
    <n v="5881"/>
    <n v="1176.2"/>
    <x v="1"/>
    <x v="6"/>
    <x v="11"/>
  </r>
  <r>
    <d v="2020-07-30T00:00:00"/>
    <x v="17"/>
    <x v="2"/>
    <x v="1"/>
    <x v="1"/>
    <n v="11332"/>
    <n v="2379.7199999999998"/>
    <x v="1"/>
    <x v="6"/>
    <x v="11"/>
  </r>
  <r>
    <d v="2020-07-26T00:00:00"/>
    <x v="18"/>
    <x v="1"/>
    <x v="0"/>
    <x v="0"/>
    <n v="7763"/>
    <n v="2872.31"/>
    <x v="1"/>
    <x v="6"/>
    <x v="12"/>
  </r>
  <r>
    <d v="2020-07-25T00:00:00"/>
    <x v="19"/>
    <x v="1"/>
    <x v="0"/>
    <x v="1"/>
    <n v="4228"/>
    <n v="1479.8"/>
    <x v="1"/>
    <x v="6"/>
    <x v="12"/>
  </r>
  <r>
    <d v="2020-07-25T00:00:00"/>
    <x v="20"/>
    <x v="1"/>
    <x v="0"/>
    <x v="1"/>
    <n v="8075"/>
    <n v="2261"/>
    <x v="1"/>
    <x v="6"/>
    <x v="12"/>
  </r>
  <r>
    <d v="2020-07-25T00:00:00"/>
    <x v="21"/>
    <x v="0"/>
    <x v="1"/>
    <x v="1"/>
    <n v="2275"/>
    <n v="1001"/>
    <x v="1"/>
    <x v="6"/>
    <x v="12"/>
  </r>
  <r>
    <d v="2020-07-25T00:00:00"/>
    <x v="22"/>
    <x v="1"/>
    <x v="1"/>
    <x v="1"/>
    <n v="2809"/>
    <n v="870.79"/>
    <x v="1"/>
    <x v="6"/>
    <x v="12"/>
  </r>
  <r>
    <d v="2020-07-24T00:00:00"/>
    <x v="23"/>
    <x v="2"/>
    <x v="0"/>
    <x v="1"/>
    <n v="2983"/>
    <n v="447.45"/>
    <x v="1"/>
    <x v="6"/>
    <x v="12"/>
  </r>
  <r>
    <d v="2020-07-24T00:00:00"/>
    <x v="24"/>
    <x v="0"/>
    <x v="1"/>
    <x v="0"/>
    <n v="8778"/>
    <n v="3598.98"/>
    <x v="1"/>
    <x v="6"/>
    <x v="12"/>
  </r>
  <r>
    <d v="2020-07-24T00:00:00"/>
    <x v="25"/>
    <x v="1"/>
    <x v="1"/>
    <x v="0"/>
    <n v="7452"/>
    <n v="3204.36"/>
    <x v="1"/>
    <x v="6"/>
    <x v="12"/>
  </r>
  <r>
    <d v="2020-08-31T00:00:00"/>
    <x v="0"/>
    <x v="1"/>
    <x v="1"/>
    <x v="1"/>
    <n v="7151"/>
    <n v="1287.18"/>
    <x v="1"/>
    <x v="7"/>
    <x v="13"/>
  </r>
  <r>
    <d v="2020-08-31T00:00:00"/>
    <x v="1"/>
    <x v="0"/>
    <x v="0"/>
    <x v="1"/>
    <n v="7831"/>
    <n v="1957.75"/>
    <x v="1"/>
    <x v="7"/>
    <x v="13"/>
  </r>
  <r>
    <d v="2020-08-31T00:00:00"/>
    <x v="2"/>
    <x v="1"/>
    <x v="0"/>
    <x v="0"/>
    <n v="9738"/>
    <n v="4187.34"/>
    <x v="1"/>
    <x v="7"/>
    <x v="13"/>
  </r>
  <r>
    <d v="2020-08-31T00:00:00"/>
    <x v="3"/>
    <x v="2"/>
    <x v="0"/>
    <x v="0"/>
    <n v="7514"/>
    <n v="2329.34"/>
    <x v="1"/>
    <x v="7"/>
    <x v="13"/>
  </r>
  <r>
    <d v="2020-08-30T00:00:00"/>
    <x v="4"/>
    <x v="0"/>
    <x v="0"/>
    <x v="1"/>
    <n v="9953"/>
    <n v="3782.14"/>
    <x v="1"/>
    <x v="7"/>
    <x v="14"/>
  </r>
  <r>
    <d v="2020-08-26T00:00:00"/>
    <x v="5"/>
    <x v="1"/>
    <x v="0"/>
    <x v="0"/>
    <n v="9069"/>
    <n v="2176.56"/>
    <x v="1"/>
    <x v="7"/>
    <x v="14"/>
  </r>
  <r>
    <d v="2020-08-25T00:00:00"/>
    <x v="6"/>
    <x v="2"/>
    <x v="1"/>
    <x v="1"/>
    <n v="9853"/>
    <n v="3547.08"/>
    <x v="1"/>
    <x v="7"/>
    <x v="14"/>
  </r>
  <r>
    <d v="2020-08-25T00:00:00"/>
    <x v="7"/>
    <x v="2"/>
    <x v="1"/>
    <x v="1"/>
    <n v="7458"/>
    <n v="2908.62"/>
    <x v="1"/>
    <x v="7"/>
    <x v="14"/>
  </r>
  <r>
    <d v="2020-08-25T00:00:00"/>
    <x v="8"/>
    <x v="1"/>
    <x v="0"/>
    <x v="1"/>
    <n v="2936"/>
    <n v="587.20000000000005"/>
    <x v="1"/>
    <x v="7"/>
    <x v="14"/>
  </r>
  <r>
    <d v="2020-08-25T00:00:00"/>
    <x v="9"/>
    <x v="1"/>
    <x v="0"/>
    <x v="1"/>
    <n v="1247"/>
    <n v="386.57"/>
    <x v="1"/>
    <x v="7"/>
    <x v="14"/>
  </r>
  <r>
    <d v="2020-08-24T00:00:00"/>
    <x v="10"/>
    <x v="1"/>
    <x v="1"/>
    <x v="1"/>
    <n v="10288"/>
    <n v="4423.84"/>
    <x v="1"/>
    <x v="7"/>
    <x v="14"/>
  </r>
  <r>
    <d v="2020-08-30T00:00:00"/>
    <x v="11"/>
    <x v="0"/>
    <x v="1"/>
    <x v="0"/>
    <n v="5975"/>
    <n v="1553.5"/>
    <x v="1"/>
    <x v="7"/>
    <x v="14"/>
  </r>
  <r>
    <d v="2020-08-30T00:00:00"/>
    <x v="12"/>
    <x v="0"/>
    <x v="0"/>
    <x v="0"/>
    <n v="8159"/>
    <n v="2692.47"/>
    <x v="1"/>
    <x v="7"/>
    <x v="14"/>
  </r>
  <r>
    <d v="2020-08-30T00:00:00"/>
    <x v="13"/>
    <x v="1"/>
    <x v="0"/>
    <x v="1"/>
    <n v="3105"/>
    <n v="993.6"/>
    <x v="1"/>
    <x v="7"/>
    <x v="14"/>
  </r>
  <r>
    <d v="2020-09-30T00:00:00"/>
    <x v="0"/>
    <x v="2"/>
    <x v="1"/>
    <x v="1"/>
    <n v="2975"/>
    <n v="654.5"/>
    <x v="1"/>
    <x v="8"/>
    <x v="15"/>
  </r>
  <r>
    <d v="2020-09-30T00:00:00"/>
    <x v="1"/>
    <x v="2"/>
    <x v="0"/>
    <x v="0"/>
    <n v="1909"/>
    <n v="343.62"/>
    <x v="1"/>
    <x v="8"/>
    <x v="15"/>
  </r>
  <r>
    <d v="2020-09-30T00:00:00"/>
    <x v="2"/>
    <x v="1"/>
    <x v="0"/>
    <x v="0"/>
    <n v="4140"/>
    <n v="952.2"/>
    <x v="1"/>
    <x v="8"/>
    <x v="15"/>
  </r>
  <r>
    <d v="2020-09-30T00:00:00"/>
    <x v="3"/>
    <x v="1"/>
    <x v="0"/>
    <x v="1"/>
    <n v="1769"/>
    <n v="796.05"/>
    <x v="1"/>
    <x v="8"/>
    <x v="15"/>
  </r>
  <r>
    <d v="2020-09-26T00:00:00"/>
    <x v="4"/>
    <x v="1"/>
    <x v="1"/>
    <x v="0"/>
    <n v="1185"/>
    <n v="201.45"/>
    <x v="1"/>
    <x v="8"/>
    <x v="16"/>
  </r>
  <r>
    <d v="2020-09-25T00:00:00"/>
    <x v="5"/>
    <x v="0"/>
    <x v="1"/>
    <x v="1"/>
    <n v="1627"/>
    <n v="276.58999999999997"/>
    <x v="1"/>
    <x v="8"/>
    <x v="16"/>
  </r>
  <r>
    <d v="2020-09-25T00:00:00"/>
    <x v="6"/>
    <x v="1"/>
    <x v="0"/>
    <x v="1"/>
    <n v="6235"/>
    <n v="2369.3000000000002"/>
    <x v="1"/>
    <x v="8"/>
    <x v="16"/>
  </r>
  <r>
    <d v="2020-09-25T00:00:00"/>
    <x v="7"/>
    <x v="1"/>
    <x v="1"/>
    <x v="1"/>
    <n v="5577"/>
    <n v="1394.25"/>
    <x v="1"/>
    <x v="8"/>
    <x v="16"/>
  </r>
  <r>
    <d v="2020-09-25T00:00:00"/>
    <x v="8"/>
    <x v="2"/>
    <x v="1"/>
    <x v="1"/>
    <n v="8536"/>
    <n v="2646.16"/>
    <x v="1"/>
    <x v="8"/>
    <x v="16"/>
  </r>
  <r>
    <d v="2020-09-24T00:00:00"/>
    <x v="9"/>
    <x v="1"/>
    <x v="0"/>
    <x v="1"/>
    <n v="1061"/>
    <n v="212.2"/>
    <x v="1"/>
    <x v="8"/>
    <x v="16"/>
  </r>
  <r>
    <d v="2020-09-24T00:00:00"/>
    <x v="10"/>
    <x v="0"/>
    <x v="0"/>
    <x v="0"/>
    <n v="11184"/>
    <n v="4249.92"/>
    <x v="1"/>
    <x v="8"/>
    <x v="16"/>
  </r>
  <r>
    <d v="2020-09-24T00:00:00"/>
    <x v="11"/>
    <x v="0"/>
    <x v="0"/>
    <x v="0"/>
    <n v="2461"/>
    <n v="639.86"/>
    <x v="1"/>
    <x v="8"/>
    <x v="16"/>
  </r>
  <r>
    <d v="2020-09-24T00:00:00"/>
    <x v="12"/>
    <x v="0"/>
    <x v="0"/>
    <x v="1"/>
    <n v="8675"/>
    <n v="3123"/>
    <x v="1"/>
    <x v="8"/>
    <x v="16"/>
  </r>
  <r>
    <d v="2020-09-24T00:00:00"/>
    <x v="13"/>
    <x v="2"/>
    <x v="0"/>
    <x v="1"/>
    <n v="3141"/>
    <n v="1099.3499999999999"/>
    <x v="1"/>
    <x v="8"/>
    <x v="16"/>
  </r>
  <r>
    <d v="2020-09-24T00:00:00"/>
    <x v="14"/>
    <x v="0"/>
    <x v="1"/>
    <x v="0"/>
    <n v="11027"/>
    <n v="3087.56"/>
    <x v="1"/>
    <x v="8"/>
    <x v="16"/>
  </r>
  <r>
    <d v="2020-09-24T00:00:00"/>
    <x v="15"/>
    <x v="0"/>
    <x v="0"/>
    <x v="0"/>
    <n v="6503"/>
    <n v="2471.14"/>
    <x v="1"/>
    <x v="8"/>
    <x v="16"/>
  </r>
  <r>
    <d v="2020-09-30T00:00:00"/>
    <x v="16"/>
    <x v="2"/>
    <x v="1"/>
    <x v="1"/>
    <n v="2383"/>
    <n v="929.37"/>
    <x v="1"/>
    <x v="8"/>
    <x v="15"/>
  </r>
  <r>
    <d v="2020-09-26T00:00:00"/>
    <x v="17"/>
    <x v="0"/>
    <x v="0"/>
    <x v="0"/>
    <n v="10496"/>
    <n v="4618.24"/>
    <x v="1"/>
    <x v="8"/>
    <x v="16"/>
  </r>
  <r>
    <d v="2020-09-25T00:00:00"/>
    <x v="18"/>
    <x v="2"/>
    <x v="1"/>
    <x v="1"/>
    <n v="4314"/>
    <n v="949.08"/>
    <x v="1"/>
    <x v="8"/>
    <x v="16"/>
  </r>
  <r>
    <d v="2020-09-25T00:00:00"/>
    <x v="19"/>
    <x v="2"/>
    <x v="0"/>
    <x v="1"/>
    <n v="8488"/>
    <n v="2801.04"/>
    <x v="1"/>
    <x v="8"/>
    <x v="16"/>
  </r>
  <r>
    <d v="2020-09-25T00:00:00"/>
    <x v="20"/>
    <x v="2"/>
    <x v="1"/>
    <x v="1"/>
    <n v="4917"/>
    <n v="983.4"/>
    <x v="1"/>
    <x v="8"/>
    <x v="16"/>
  </r>
  <r>
    <d v="2020-09-25T00:00:00"/>
    <x v="21"/>
    <x v="2"/>
    <x v="1"/>
    <x v="1"/>
    <n v="2201"/>
    <n v="440.2"/>
    <x v="1"/>
    <x v="8"/>
    <x v="16"/>
  </r>
  <r>
    <d v="2020-09-24T00:00:00"/>
    <x v="22"/>
    <x v="1"/>
    <x v="0"/>
    <x v="1"/>
    <n v="6484"/>
    <n v="2593.6"/>
    <x v="1"/>
    <x v="8"/>
    <x v="16"/>
  </r>
  <r>
    <d v="2020-09-30T00:00:00"/>
    <x v="23"/>
    <x v="2"/>
    <x v="0"/>
    <x v="0"/>
    <n v="2387"/>
    <n v="501.27"/>
    <x v="1"/>
    <x v="8"/>
    <x v="15"/>
  </r>
  <r>
    <d v="2020-09-30T00:00:00"/>
    <x v="24"/>
    <x v="0"/>
    <x v="0"/>
    <x v="0"/>
    <n v="6037"/>
    <n v="1207.4000000000001"/>
    <x v="1"/>
    <x v="8"/>
    <x v="15"/>
  </r>
  <r>
    <d v="2020-09-30T00:00:00"/>
    <x v="25"/>
    <x v="1"/>
    <x v="1"/>
    <x v="1"/>
    <n v="6224"/>
    <n v="1804.96"/>
    <x v="1"/>
    <x v="8"/>
    <x v="15"/>
  </r>
  <r>
    <d v="2020-09-30T00:00:00"/>
    <x v="26"/>
    <x v="2"/>
    <x v="1"/>
    <x v="1"/>
    <n v="11361"/>
    <n v="3521.91"/>
    <x v="1"/>
    <x v="8"/>
    <x v="15"/>
  </r>
  <r>
    <d v="2020-09-30T00:00:00"/>
    <x v="27"/>
    <x v="1"/>
    <x v="0"/>
    <x v="0"/>
    <n v="8199"/>
    <n v="3443.58"/>
    <x v="1"/>
    <x v="8"/>
    <x v="15"/>
  </r>
  <r>
    <d v="2020-09-30T00:00:00"/>
    <x v="28"/>
    <x v="1"/>
    <x v="1"/>
    <x v="0"/>
    <n v="11812"/>
    <n v="2126.16"/>
    <x v="1"/>
    <x v="8"/>
    <x v="15"/>
  </r>
  <r>
    <d v="2020-09-30T00:00:00"/>
    <x v="29"/>
    <x v="1"/>
    <x v="0"/>
    <x v="1"/>
    <n v="7902"/>
    <n v="2686.68"/>
    <x v="1"/>
    <x v="8"/>
    <x v="15"/>
  </r>
  <r>
    <d v="2020-10-26T00:00:00"/>
    <x v="0"/>
    <x v="0"/>
    <x v="0"/>
    <x v="0"/>
    <n v="1856"/>
    <n v="835.2"/>
    <x v="1"/>
    <x v="9"/>
    <x v="17"/>
  </r>
  <r>
    <d v="2020-10-25T00:00:00"/>
    <x v="1"/>
    <x v="1"/>
    <x v="1"/>
    <x v="1"/>
    <n v="10509"/>
    <n v="4518.87"/>
    <x v="1"/>
    <x v="9"/>
    <x v="18"/>
  </r>
  <r>
    <d v="2020-10-25T00:00:00"/>
    <x v="2"/>
    <x v="2"/>
    <x v="0"/>
    <x v="1"/>
    <n v="3871"/>
    <n v="851.62"/>
    <x v="1"/>
    <x v="9"/>
    <x v="18"/>
  </r>
  <r>
    <d v="2020-10-25T00:00:00"/>
    <x v="3"/>
    <x v="0"/>
    <x v="1"/>
    <x v="1"/>
    <n v="8379"/>
    <n v="3351.6"/>
    <x v="1"/>
    <x v="9"/>
    <x v="18"/>
  </r>
  <r>
    <d v="2020-10-25T00:00:00"/>
    <x v="4"/>
    <x v="1"/>
    <x v="1"/>
    <x v="1"/>
    <n v="2883"/>
    <n v="1124.3699999999999"/>
    <x v="1"/>
    <x v="9"/>
    <x v="18"/>
  </r>
  <r>
    <d v="2020-10-24T00:00:00"/>
    <x v="5"/>
    <x v="1"/>
    <x v="1"/>
    <x v="1"/>
    <n v="4370"/>
    <n v="1835.4"/>
    <x v="1"/>
    <x v="9"/>
    <x v="18"/>
  </r>
  <r>
    <d v="2020-10-31T00:00:00"/>
    <x v="6"/>
    <x v="0"/>
    <x v="0"/>
    <x v="0"/>
    <n v="3059"/>
    <n v="703.57"/>
    <x v="1"/>
    <x v="9"/>
    <x v="17"/>
  </r>
  <r>
    <d v="2020-10-31T00:00:00"/>
    <x v="7"/>
    <x v="1"/>
    <x v="0"/>
    <x v="0"/>
    <n v="2967"/>
    <n v="504.39"/>
    <x v="1"/>
    <x v="9"/>
    <x v="17"/>
  </r>
  <r>
    <d v="2020-10-31T00:00:00"/>
    <x v="8"/>
    <x v="2"/>
    <x v="0"/>
    <x v="1"/>
    <n v="7081"/>
    <n v="3115.64"/>
    <x v="1"/>
    <x v="9"/>
    <x v="17"/>
  </r>
  <r>
    <d v="2020-10-31T00:00:00"/>
    <x v="9"/>
    <x v="0"/>
    <x v="1"/>
    <x v="1"/>
    <n v="7512"/>
    <n v="3155.04"/>
    <x v="1"/>
    <x v="9"/>
    <x v="17"/>
  </r>
  <r>
    <d v="2020-10-31T00:00:00"/>
    <x v="10"/>
    <x v="1"/>
    <x v="0"/>
    <x v="0"/>
    <n v="2330"/>
    <n v="559.20000000000005"/>
    <x v="1"/>
    <x v="9"/>
    <x v="17"/>
  </r>
  <r>
    <d v="2020-10-31T00:00:00"/>
    <x v="11"/>
    <x v="2"/>
    <x v="1"/>
    <x v="0"/>
    <n v="7403"/>
    <n v="1850.75"/>
    <x v="1"/>
    <x v="9"/>
    <x v="17"/>
  </r>
  <r>
    <d v="2020-10-30T00:00:00"/>
    <x v="12"/>
    <x v="2"/>
    <x v="1"/>
    <x v="1"/>
    <n v="9547"/>
    <n v="4105.21"/>
    <x v="1"/>
    <x v="9"/>
    <x v="17"/>
  </r>
  <r>
    <d v="2020-10-26T00:00:00"/>
    <x v="13"/>
    <x v="1"/>
    <x v="1"/>
    <x v="0"/>
    <n v="1126"/>
    <n v="236.46"/>
    <x v="1"/>
    <x v="9"/>
    <x v="17"/>
  </r>
  <r>
    <d v="2020-10-25T00:00:00"/>
    <x v="14"/>
    <x v="1"/>
    <x v="1"/>
    <x v="1"/>
    <n v="4869"/>
    <n v="1558.08"/>
    <x v="1"/>
    <x v="9"/>
    <x v="18"/>
  </r>
  <r>
    <d v="2020-10-25T00:00:00"/>
    <x v="15"/>
    <x v="1"/>
    <x v="0"/>
    <x v="1"/>
    <n v="6586"/>
    <n v="1185.48"/>
    <x v="1"/>
    <x v="9"/>
    <x v="18"/>
  </r>
  <r>
    <d v="2020-10-25T00:00:00"/>
    <x v="16"/>
    <x v="0"/>
    <x v="0"/>
    <x v="1"/>
    <n v="4326"/>
    <n v="1384.32"/>
    <x v="1"/>
    <x v="9"/>
    <x v="18"/>
  </r>
  <r>
    <d v="2020-10-25T00:00:00"/>
    <x v="17"/>
    <x v="0"/>
    <x v="0"/>
    <x v="1"/>
    <n v="10424"/>
    <n v="4169.6000000000004"/>
    <x v="1"/>
    <x v="9"/>
    <x v="18"/>
  </r>
  <r>
    <d v="2020-10-24T00:00:00"/>
    <x v="18"/>
    <x v="1"/>
    <x v="1"/>
    <x v="1"/>
    <n v="2836"/>
    <n v="1077.68"/>
    <x v="1"/>
    <x v="9"/>
    <x v="18"/>
  </r>
  <r>
    <d v="2020-10-30T00:00:00"/>
    <x v="19"/>
    <x v="2"/>
    <x v="1"/>
    <x v="0"/>
    <n v="8040"/>
    <n v="3376.8"/>
    <x v="1"/>
    <x v="9"/>
    <x v="17"/>
  </r>
  <r>
    <d v="2020-10-30T00:00:00"/>
    <x v="20"/>
    <x v="2"/>
    <x v="0"/>
    <x v="0"/>
    <n v="10226"/>
    <n v="4090.4"/>
    <x v="1"/>
    <x v="9"/>
    <x v="17"/>
  </r>
  <r>
    <d v="2020-10-30T00:00:00"/>
    <x v="21"/>
    <x v="1"/>
    <x v="0"/>
    <x v="1"/>
    <n v="11163"/>
    <n v="4911.72"/>
    <x v="1"/>
    <x v="9"/>
    <x v="17"/>
  </r>
  <r>
    <d v="2020-11-30T00:00:00"/>
    <x v="0"/>
    <x v="1"/>
    <x v="1"/>
    <x v="1"/>
    <n v="9151"/>
    <n v="3294.36"/>
    <x v="1"/>
    <x v="10"/>
    <x v="19"/>
  </r>
  <r>
    <d v="2020-11-30T00:00:00"/>
    <x v="1"/>
    <x v="1"/>
    <x v="1"/>
    <x v="0"/>
    <n v="9686"/>
    <n v="2324.64"/>
    <x v="1"/>
    <x v="10"/>
    <x v="19"/>
  </r>
  <r>
    <d v="2020-11-30T00:00:00"/>
    <x v="2"/>
    <x v="0"/>
    <x v="1"/>
    <x v="0"/>
    <n v="3964"/>
    <n v="1228.8399999999999"/>
    <x v="1"/>
    <x v="10"/>
    <x v="19"/>
  </r>
  <r>
    <d v="2020-11-30T00:00:00"/>
    <x v="3"/>
    <x v="1"/>
    <x v="1"/>
    <x v="1"/>
    <n v="4859"/>
    <n v="1506.29"/>
    <x v="1"/>
    <x v="10"/>
    <x v="19"/>
  </r>
  <r>
    <d v="2020-11-26T00:00:00"/>
    <x v="4"/>
    <x v="1"/>
    <x v="1"/>
    <x v="0"/>
    <n v="6118"/>
    <n v="2630.74"/>
    <x v="1"/>
    <x v="10"/>
    <x v="20"/>
  </r>
  <r>
    <d v="2020-11-25T00:00:00"/>
    <x v="5"/>
    <x v="2"/>
    <x v="0"/>
    <x v="1"/>
    <n v="1645"/>
    <n v="592.20000000000005"/>
    <x v="1"/>
    <x v="10"/>
    <x v="20"/>
  </r>
  <r>
    <d v="2020-11-25T00:00:00"/>
    <x v="6"/>
    <x v="1"/>
    <x v="1"/>
    <x v="1"/>
    <n v="2175"/>
    <n v="543.75"/>
    <x v="1"/>
    <x v="10"/>
    <x v="20"/>
  </r>
  <r>
    <d v="2020-11-25T00:00:00"/>
    <x v="7"/>
    <x v="0"/>
    <x v="1"/>
    <x v="1"/>
    <n v="11819"/>
    <n v="4609.41"/>
    <x v="1"/>
    <x v="10"/>
    <x v="20"/>
  </r>
  <r>
    <d v="2020-11-25T00:00:00"/>
    <x v="8"/>
    <x v="0"/>
    <x v="0"/>
    <x v="1"/>
    <n v="3119"/>
    <n v="499.04"/>
    <x v="1"/>
    <x v="10"/>
    <x v="20"/>
  </r>
  <r>
    <d v="2020-11-24T00:00:00"/>
    <x v="9"/>
    <x v="0"/>
    <x v="0"/>
    <x v="1"/>
    <n v="6518"/>
    <n v="1499.14"/>
    <x v="1"/>
    <x v="10"/>
    <x v="20"/>
  </r>
  <r>
    <d v="2020-11-24T00:00:00"/>
    <x v="10"/>
    <x v="2"/>
    <x v="1"/>
    <x v="0"/>
    <n v="5884"/>
    <n v="1412.16"/>
    <x v="1"/>
    <x v="10"/>
    <x v="20"/>
  </r>
  <r>
    <d v="2020-11-24T00:00:00"/>
    <x v="11"/>
    <x v="0"/>
    <x v="0"/>
    <x v="0"/>
    <n v="5452"/>
    <n v="1635.6"/>
    <x v="1"/>
    <x v="10"/>
    <x v="20"/>
  </r>
  <r>
    <d v="2020-11-24T00:00:00"/>
    <x v="12"/>
    <x v="0"/>
    <x v="0"/>
    <x v="1"/>
    <n v="7268"/>
    <n v="3197.92"/>
    <x v="1"/>
    <x v="10"/>
    <x v="20"/>
  </r>
  <r>
    <d v="2020-11-24T00:00:00"/>
    <x v="13"/>
    <x v="2"/>
    <x v="1"/>
    <x v="1"/>
    <n v="10802"/>
    <n v="2052.38"/>
    <x v="1"/>
    <x v="10"/>
    <x v="20"/>
  </r>
  <r>
    <d v="2020-12-31T00:00:00"/>
    <x v="0"/>
    <x v="0"/>
    <x v="0"/>
    <x v="0"/>
    <n v="1852"/>
    <n v="722.28"/>
    <x v="1"/>
    <x v="11"/>
    <x v="21"/>
  </r>
  <r>
    <d v="2020-12-31T00:00:00"/>
    <x v="1"/>
    <x v="2"/>
    <x v="0"/>
    <x v="0"/>
    <n v="10163"/>
    <n v="1930.97"/>
    <x v="1"/>
    <x v="11"/>
    <x v="21"/>
  </r>
  <r>
    <d v="2020-12-30T00:00:00"/>
    <x v="2"/>
    <x v="2"/>
    <x v="0"/>
    <x v="1"/>
    <n v="2325"/>
    <n v="953.25"/>
    <x v="1"/>
    <x v="11"/>
    <x v="21"/>
  </r>
  <r>
    <d v="2020-12-26T00:00:00"/>
    <x v="3"/>
    <x v="2"/>
    <x v="0"/>
    <x v="0"/>
    <n v="9471"/>
    <n v="4261.95"/>
    <x v="1"/>
    <x v="11"/>
    <x v="22"/>
  </r>
  <r>
    <d v="2020-12-25T00:00:00"/>
    <x v="4"/>
    <x v="2"/>
    <x v="0"/>
    <x v="1"/>
    <n v="6253"/>
    <n v="2000.96"/>
    <x v="1"/>
    <x v="11"/>
    <x v="22"/>
  </r>
  <r>
    <d v="2020-12-25T00:00:00"/>
    <x v="5"/>
    <x v="1"/>
    <x v="1"/>
    <x v="1"/>
    <n v="7365"/>
    <n v="1325.7"/>
    <x v="1"/>
    <x v="11"/>
    <x v="22"/>
  </r>
  <r>
    <d v="2020-12-25T00:00:00"/>
    <x v="6"/>
    <x v="2"/>
    <x v="0"/>
    <x v="1"/>
    <n v="5086"/>
    <n v="1932.68"/>
    <x v="1"/>
    <x v="11"/>
    <x v="22"/>
  </r>
  <r>
    <d v="2020-12-25T00:00:00"/>
    <x v="7"/>
    <x v="0"/>
    <x v="0"/>
    <x v="1"/>
    <n v="10887"/>
    <n v="1741.92"/>
    <x v="1"/>
    <x v="11"/>
    <x v="22"/>
  </r>
  <r>
    <d v="2020-12-24T00:00:00"/>
    <x v="8"/>
    <x v="1"/>
    <x v="0"/>
    <x v="1"/>
    <n v="4599"/>
    <n v="2069.5500000000002"/>
    <x v="1"/>
    <x v="11"/>
    <x v="22"/>
  </r>
  <r>
    <d v="2020-12-30T00:00:00"/>
    <x v="9"/>
    <x v="2"/>
    <x v="1"/>
    <x v="0"/>
    <n v="1344"/>
    <n v="537.6"/>
    <x v="1"/>
    <x v="11"/>
    <x v="21"/>
  </r>
  <r>
    <d v="2020-12-30T00:00:00"/>
    <x v="10"/>
    <x v="1"/>
    <x v="0"/>
    <x v="0"/>
    <n v="7937"/>
    <n v="2063.62"/>
    <x v="1"/>
    <x v="11"/>
    <x v="21"/>
  </r>
  <r>
    <d v="2020-12-30T00:00:00"/>
    <x v="11"/>
    <x v="1"/>
    <x v="1"/>
    <x v="1"/>
    <n v="8324"/>
    <n v="1415.08"/>
    <x v="1"/>
    <x v="11"/>
    <x v="21"/>
  </r>
  <r>
    <d v="2020-12-30T00:00:00"/>
    <x v="12"/>
    <x v="1"/>
    <x v="1"/>
    <x v="1"/>
    <n v="1066"/>
    <n v="362.44"/>
    <x v="1"/>
    <x v="11"/>
    <x v="21"/>
  </r>
  <r>
    <d v="2020-12-30T00:00:00"/>
    <x v="13"/>
    <x v="0"/>
    <x v="0"/>
    <x v="0"/>
    <n v="7547"/>
    <n v="2037.69"/>
    <x v="1"/>
    <x v="11"/>
    <x v="21"/>
  </r>
  <r>
    <d v="2020-12-30T00:00:00"/>
    <x v="14"/>
    <x v="2"/>
    <x v="1"/>
    <x v="0"/>
    <n v="7046"/>
    <n v="3170.7"/>
    <x v="1"/>
    <x v="11"/>
    <x v="21"/>
  </r>
  <r>
    <d v="2020-12-30T00:00:00"/>
    <x v="15"/>
    <x v="2"/>
    <x v="1"/>
    <x v="1"/>
    <n v="3861"/>
    <n v="1505.79"/>
    <x v="1"/>
    <x v="11"/>
    <x v="21"/>
  </r>
  <r>
    <d v="2020-12-26T00:00:00"/>
    <x v="16"/>
    <x v="2"/>
    <x v="0"/>
    <x v="0"/>
    <n v="7607"/>
    <n v="1369.26"/>
    <x v="1"/>
    <x v="11"/>
    <x v="22"/>
  </r>
  <r>
    <d v="2020-12-25T00:00:00"/>
    <x v="17"/>
    <x v="1"/>
    <x v="0"/>
    <x v="1"/>
    <n v="11883"/>
    <n v="2970.75"/>
    <x v="1"/>
    <x v="11"/>
    <x v="22"/>
  </r>
  <r>
    <d v="2020-12-25T00:00:00"/>
    <x v="18"/>
    <x v="2"/>
    <x v="1"/>
    <x v="1"/>
    <n v="11539"/>
    <n v="4730.99"/>
    <x v="1"/>
    <x v="11"/>
    <x v="22"/>
  </r>
  <r>
    <d v="2020-12-25T00:00:00"/>
    <x v="19"/>
    <x v="0"/>
    <x v="0"/>
    <x v="1"/>
    <n v="7770"/>
    <n v="2331"/>
    <x v="1"/>
    <x v="11"/>
    <x v="22"/>
  </r>
  <r>
    <d v="2020-12-25T00:00:00"/>
    <x v="20"/>
    <x v="1"/>
    <x v="0"/>
    <x v="1"/>
    <n v="2280"/>
    <n v="410.4"/>
    <x v="1"/>
    <x v="11"/>
    <x v="22"/>
  </r>
  <r>
    <d v="2020-12-25T00:00:00"/>
    <x v="21"/>
    <x v="0"/>
    <x v="0"/>
    <x v="1"/>
    <n v="5844"/>
    <n v="2279.16"/>
    <x v="1"/>
    <x v="11"/>
    <x v="22"/>
  </r>
  <r>
    <d v="2019-01-31T00:00:00"/>
    <x v="0"/>
    <x v="0"/>
    <x v="0"/>
    <x v="0"/>
    <n v="10241"/>
    <n v="4403.63"/>
    <x v="2"/>
    <x v="0"/>
    <x v="0"/>
  </r>
  <r>
    <d v="2019-01-31T00:00:00"/>
    <x v="1"/>
    <x v="1"/>
    <x v="1"/>
    <x v="0"/>
    <n v="5394"/>
    <n v="1780.02"/>
    <x v="2"/>
    <x v="0"/>
    <x v="0"/>
  </r>
  <r>
    <d v="2019-01-31T00:00:00"/>
    <x v="2"/>
    <x v="2"/>
    <x v="1"/>
    <x v="1"/>
    <n v="8005"/>
    <n v="1200.75"/>
    <x v="2"/>
    <x v="0"/>
    <x v="0"/>
  </r>
  <r>
    <d v="2019-01-31T00:00:00"/>
    <x v="3"/>
    <x v="1"/>
    <x v="0"/>
    <x v="1"/>
    <n v="8408"/>
    <n v="1765.68"/>
    <x v="2"/>
    <x v="0"/>
    <x v="0"/>
  </r>
  <r>
    <d v="2019-01-31T00:00:00"/>
    <x v="4"/>
    <x v="1"/>
    <x v="0"/>
    <x v="0"/>
    <n v="2681"/>
    <n v="643.44000000000005"/>
    <x v="2"/>
    <x v="0"/>
    <x v="0"/>
  </r>
  <r>
    <d v="2019-01-31T00:00:00"/>
    <x v="5"/>
    <x v="1"/>
    <x v="0"/>
    <x v="0"/>
    <n v="9118"/>
    <n v="2644.22"/>
    <x v="2"/>
    <x v="0"/>
    <x v="0"/>
  </r>
  <r>
    <d v="2019-01-30T00:00:00"/>
    <x v="6"/>
    <x v="0"/>
    <x v="1"/>
    <x v="1"/>
    <n v="9492"/>
    <n v="4176.4799999999996"/>
    <x v="2"/>
    <x v="0"/>
    <x v="0"/>
  </r>
  <r>
    <d v="2019-01-26T00:00:00"/>
    <x v="7"/>
    <x v="1"/>
    <x v="1"/>
    <x v="0"/>
    <n v="7574"/>
    <n v="1969.24"/>
    <x v="2"/>
    <x v="0"/>
    <x v="1"/>
  </r>
  <r>
    <d v="2019-01-25T00:00:00"/>
    <x v="8"/>
    <x v="2"/>
    <x v="1"/>
    <x v="1"/>
    <n v="10313"/>
    <n v="2062.6"/>
    <x v="2"/>
    <x v="0"/>
    <x v="1"/>
  </r>
  <r>
    <d v="2019-01-25T00:00:00"/>
    <x v="9"/>
    <x v="0"/>
    <x v="1"/>
    <x v="1"/>
    <n v="8762"/>
    <n v="1840.02"/>
    <x v="2"/>
    <x v="0"/>
    <x v="1"/>
  </r>
  <r>
    <d v="2019-01-25T00:00:00"/>
    <x v="10"/>
    <x v="1"/>
    <x v="1"/>
    <x v="1"/>
    <n v="1617"/>
    <n v="614.46"/>
    <x v="2"/>
    <x v="0"/>
    <x v="1"/>
  </r>
  <r>
    <d v="2019-01-25T00:00:00"/>
    <x v="11"/>
    <x v="2"/>
    <x v="1"/>
    <x v="1"/>
    <n v="10731"/>
    <n v="4614.33"/>
    <x v="2"/>
    <x v="0"/>
    <x v="1"/>
  </r>
  <r>
    <d v="2019-01-24T00:00:00"/>
    <x v="12"/>
    <x v="2"/>
    <x v="1"/>
    <x v="1"/>
    <n v="11798"/>
    <n v="2595.56"/>
    <x v="2"/>
    <x v="0"/>
    <x v="1"/>
  </r>
  <r>
    <d v="2019-01-30T00:00:00"/>
    <x v="13"/>
    <x v="1"/>
    <x v="0"/>
    <x v="0"/>
    <n v="6626"/>
    <n v="1523.98"/>
    <x v="2"/>
    <x v="0"/>
    <x v="0"/>
  </r>
  <r>
    <d v="2019-01-30T00:00:00"/>
    <x v="14"/>
    <x v="1"/>
    <x v="0"/>
    <x v="0"/>
    <n v="2165"/>
    <n v="476.3"/>
    <x v="2"/>
    <x v="0"/>
    <x v="0"/>
  </r>
  <r>
    <d v="2019-01-30T00:00:00"/>
    <x v="15"/>
    <x v="1"/>
    <x v="1"/>
    <x v="1"/>
    <n v="11064"/>
    <n v="2655.36"/>
    <x v="2"/>
    <x v="0"/>
    <x v="0"/>
  </r>
  <r>
    <d v="2019-01-30T00:00:00"/>
    <x v="16"/>
    <x v="0"/>
    <x v="0"/>
    <x v="1"/>
    <n v="6989"/>
    <n v="1118.24"/>
    <x v="2"/>
    <x v="0"/>
    <x v="0"/>
  </r>
  <r>
    <d v="2019-01-30T00:00:00"/>
    <x v="17"/>
    <x v="1"/>
    <x v="1"/>
    <x v="0"/>
    <n v="6909"/>
    <n v="1727.25"/>
    <x v="2"/>
    <x v="0"/>
    <x v="0"/>
  </r>
  <r>
    <d v="2019-01-30T00:00:00"/>
    <x v="18"/>
    <x v="1"/>
    <x v="0"/>
    <x v="0"/>
    <n v="11752"/>
    <n v="5053.3599999999997"/>
    <x v="2"/>
    <x v="0"/>
    <x v="0"/>
  </r>
  <r>
    <d v="2019-01-30T00:00:00"/>
    <x v="19"/>
    <x v="2"/>
    <x v="0"/>
    <x v="1"/>
    <n v="7666"/>
    <n v="2759.76"/>
    <x v="2"/>
    <x v="0"/>
    <x v="0"/>
  </r>
  <r>
    <d v="2019-01-26T00:00:00"/>
    <x v="20"/>
    <x v="1"/>
    <x v="1"/>
    <x v="0"/>
    <n v="1415"/>
    <n v="438.65"/>
    <x v="2"/>
    <x v="0"/>
    <x v="1"/>
  </r>
  <r>
    <d v="2019-01-25T00:00:00"/>
    <x v="21"/>
    <x v="0"/>
    <x v="0"/>
    <x v="1"/>
    <n v="5234"/>
    <n v="1256.1600000000001"/>
    <x v="2"/>
    <x v="0"/>
    <x v="1"/>
  </r>
  <r>
    <d v="2019-01-25T00:00:00"/>
    <x v="22"/>
    <x v="0"/>
    <x v="0"/>
    <x v="1"/>
    <n v="2914"/>
    <n v="932.48"/>
    <x v="2"/>
    <x v="0"/>
    <x v="1"/>
  </r>
  <r>
    <d v="2019-01-25T00:00:00"/>
    <x v="23"/>
    <x v="0"/>
    <x v="1"/>
    <x v="1"/>
    <n v="2466"/>
    <n v="641.16"/>
    <x v="2"/>
    <x v="0"/>
    <x v="1"/>
  </r>
  <r>
    <d v="2019-01-25T00:00:00"/>
    <x v="24"/>
    <x v="2"/>
    <x v="0"/>
    <x v="1"/>
    <n v="5275"/>
    <n v="2110"/>
    <x v="2"/>
    <x v="0"/>
    <x v="1"/>
  </r>
  <r>
    <d v="2019-01-24T00:00:00"/>
    <x v="25"/>
    <x v="0"/>
    <x v="0"/>
    <x v="1"/>
    <n v="10545"/>
    <n v="3268.95"/>
    <x v="2"/>
    <x v="0"/>
    <x v="1"/>
  </r>
  <r>
    <d v="2019-01-31T00:00:00"/>
    <x v="26"/>
    <x v="0"/>
    <x v="0"/>
    <x v="0"/>
    <n v="6266"/>
    <n v="1879.8"/>
    <x v="2"/>
    <x v="0"/>
    <x v="0"/>
  </r>
  <r>
    <d v="2019-01-31T00:00:00"/>
    <x v="27"/>
    <x v="0"/>
    <x v="0"/>
    <x v="0"/>
    <n v="9662"/>
    <n v="3478.32"/>
    <x v="2"/>
    <x v="0"/>
    <x v="0"/>
  </r>
  <r>
    <d v="2019-01-31T00:00:00"/>
    <x v="28"/>
    <x v="0"/>
    <x v="0"/>
    <x v="1"/>
    <n v="2896"/>
    <n v="1100.48"/>
    <x v="2"/>
    <x v="0"/>
    <x v="0"/>
  </r>
  <r>
    <d v="2019-01-31T00:00:00"/>
    <x v="29"/>
    <x v="2"/>
    <x v="0"/>
    <x v="1"/>
    <n v="10981"/>
    <n v="1647.15"/>
    <x v="2"/>
    <x v="0"/>
    <x v="0"/>
  </r>
  <r>
    <d v="2019-01-31T00:00:00"/>
    <x v="30"/>
    <x v="2"/>
    <x v="1"/>
    <x v="0"/>
    <n v="8849"/>
    <n v="3893.56"/>
    <x v="2"/>
    <x v="0"/>
    <x v="0"/>
  </r>
  <r>
    <d v="2019-01-31T00:00:00"/>
    <x v="31"/>
    <x v="2"/>
    <x v="1"/>
    <x v="0"/>
    <n v="2938"/>
    <n v="969.54"/>
    <x v="2"/>
    <x v="0"/>
    <x v="0"/>
  </r>
  <r>
    <d v="2019-01-30T00:00:00"/>
    <x v="32"/>
    <x v="1"/>
    <x v="1"/>
    <x v="1"/>
    <n v="5405"/>
    <n v="1837.7"/>
    <x v="2"/>
    <x v="0"/>
    <x v="0"/>
  </r>
  <r>
    <d v="2019-01-26T00:00:00"/>
    <x v="33"/>
    <x v="2"/>
    <x v="0"/>
    <x v="0"/>
    <n v="11499"/>
    <n v="2644.77"/>
    <x v="2"/>
    <x v="0"/>
    <x v="1"/>
  </r>
  <r>
    <d v="2019-01-25T00:00:00"/>
    <x v="34"/>
    <x v="0"/>
    <x v="0"/>
    <x v="1"/>
    <n v="3396"/>
    <n v="577.32000000000005"/>
    <x v="2"/>
    <x v="0"/>
    <x v="1"/>
  </r>
  <r>
    <d v="2019-01-25T00:00:00"/>
    <x v="35"/>
    <x v="2"/>
    <x v="0"/>
    <x v="1"/>
    <n v="9370"/>
    <n v="2623.6"/>
    <x v="2"/>
    <x v="0"/>
    <x v="1"/>
  </r>
  <r>
    <d v="2019-01-25T00:00:00"/>
    <x v="36"/>
    <x v="0"/>
    <x v="1"/>
    <x v="1"/>
    <n v="11477"/>
    <n v="3672.64"/>
    <x v="2"/>
    <x v="0"/>
    <x v="1"/>
  </r>
  <r>
    <d v="2019-01-25T00:00:00"/>
    <x v="37"/>
    <x v="0"/>
    <x v="1"/>
    <x v="1"/>
    <n v="10862"/>
    <n v="3041.36"/>
    <x v="2"/>
    <x v="0"/>
    <x v="1"/>
  </r>
  <r>
    <d v="2019-01-24T00:00:00"/>
    <x v="38"/>
    <x v="2"/>
    <x v="1"/>
    <x v="1"/>
    <n v="4858"/>
    <n v="2137.52"/>
    <x v="2"/>
    <x v="0"/>
    <x v="1"/>
  </r>
  <r>
    <d v="2019-01-30T00:00:00"/>
    <x v="39"/>
    <x v="0"/>
    <x v="1"/>
    <x v="0"/>
    <n v="10226"/>
    <n v="2351.98"/>
    <x v="2"/>
    <x v="0"/>
    <x v="0"/>
  </r>
  <r>
    <d v="2019-01-30T00:00:00"/>
    <x v="40"/>
    <x v="2"/>
    <x v="1"/>
    <x v="0"/>
    <n v="2976"/>
    <n v="803.52"/>
    <x v="2"/>
    <x v="0"/>
    <x v="0"/>
  </r>
  <r>
    <d v="2019-01-30T00:00:00"/>
    <x v="41"/>
    <x v="2"/>
    <x v="1"/>
    <x v="1"/>
    <n v="1563"/>
    <n v="531.41999999999996"/>
    <x v="2"/>
    <x v="0"/>
    <x v="0"/>
  </r>
  <r>
    <d v="2019-01-30T00:00:00"/>
    <x v="42"/>
    <x v="2"/>
    <x v="0"/>
    <x v="1"/>
    <n v="4304"/>
    <n v="1936.8"/>
    <x v="2"/>
    <x v="0"/>
    <x v="0"/>
  </r>
  <r>
    <d v="2019-01-30T00:00:00"/>
    <x v="43"/>
    <x v="2"/>
    <x v="1"/>
    <x v="0"/>
    <n v="5197"/>
    <n v="1715.01"/>
    <x v="2"/>
    <x v="0"/>
    <x v="0"/>
  </r>
  <r>
    <d v="2019-01-30T00:00:00"/>
    <x v="44"/>
    <x v="1"/>
    <x v="1"/>
    <x v="0"/>
    <n v="7527"/>
    <n v="1354.86"/>
    <x v="2"/>
    <x v="0"/>
    <x v="0"/>
  </r>
  <r>
    <d v="2019-01-30T00:00:00"/>
    <x v="45"/>
    <x v="2"/>
    <x v="1"/>
    <x v="1"/>
    <n v="11117"/>
    <n v="3557.44"/>
    <x v="2"/>
    <x v="0"/>
    <x v="0"/>
  </r>
  <r>
    <d v="2019-01-26T00:00:00"/>
    <x v="46"/>
    <x v="0"/>
    <x v="0"/>
    <x v="0"/>
    <n v="9110"/>
    <n v="3279.6"/>
    <x v="2"/>
    <x v="0"/>
    <x v="1"/>
  </r>
  <r>
    <d v="2019-01-25T00:00:00"/>
    <x v="47"/>
    <x v="1"/>
    <x v="1"/>
    <x v="1"/>
    <n v="10351"/>
    <n v="2691.26"/>
    <x v="2"/>
    <x v="0"/>
    <x v="1"/>
  </r>
  <r>
    <d v="2019-01-25T00:00:00"/>
    <x v="48"/>
    <x v="2"/>
    <x v="0"/>
    <x v="1"/>
    <n v="1625"/>
    <n v="422.5"/>
    <x v="2"/>
    <x v="0"/>
    <x v="1"/>
  </r>
  <r>
    <d v="2019-01-25T00:00:00"/>
    <x v="49"/>
    <x v="1"/>
    <x v="0"/>
    <x v="1"/>
    <n v="7975"/>
    <n v="2950.75"/>
    <x v="2"/>
    <x v="0"/>
    <x v="1"/>
  </r>
  <r>
    <d v="2019-01-25T00:00:00"/>
    <x v="50"/>
    <x v="1"/>
    <x v="0"/>
    <x v="1"/>
    <n v="1664"/>
    <n v="449.28"/>
    <x v="2"/>
    <x v="0"/>
    <x v="1"/>
  </r>
  <r>
    <d v="2019-02-24T00:00:00"/>
    <x v="0"/>
    <x v="1"/>
    <x v="1"/>
    <x v="1"/>
    <n v="3980"/>
    <n v="1313.4"/>
    <x v="2"/>
    <x v="1"/>
    <x v="24"/>
  </r>
  <r>
    <d v="2019-02-24T00:00:00"/>
    <x v="1"/>
    <x v="0"/>
    <x v="1"/>
    <x v="0"/>
    <n v="10230"/>
    <n v="3171.3"/>
    <x v="2"/>
    <x v="1"/>
    <x v="24"/>
  </r>
  <r>
    <d v="2019-02-24T00:00:00"/>
    <x v="2"/>
    <x v="1"/>
    <x v="0"/>
    <x v="0"/>
    <n v="7749"/>
    <n v="1162.3499999999999"/>
    <x v="2"/>
    <x v="1"/>
    <x v="24"/>
  </r>
  <r>
    <d v="2019-02-24T00:00:00"/>
    <x v="3"/>
    <x v="2"/>
    <x v="1"/>
    <x v="1"/>
    <n v="4349"/>
    <n v="652.35"/>
    <x v="2"/>
    <x v="1"/>
    <x v="24"/>
  </r>
  <r>
    <d v="2019-02-24T00:00:00"/>
    <x v="4"/>
    <x v="0"/>
    <x v="1"/>
    <x v="1"/>
    <n v="5360"/>
    <n v="2197.6"/>
    <x v="2"/>
    <x v="1"/>
    <x v="24"/>
  </r>
  <r>
    <d v="2019-02-24T00:00:00"/>
    <x v="5"/>
    <x v="1"/>
    <x v="1"/>
    <x v="0"/>
    <n v="10393"/>
    <n v="1662.88"/>
    <x v="2"/>
    <x v="1"/>
    <x v="24"/>
  </r>
  <r>
    <d v="2019-02-24T00:00:00"/>
    <x v="6"/>
    <x v="2"/>
    <x v="0"/>
    <x v="0"/>
    <n v="9839"/>
    <n v="1967.8"/>
    <x v="2"/>
    <x v="1"/>
    <x v="24"/>
  </r>
  <r>
    <d v="2019-02-24T00:00:00"/>
    <x v="7"/>
    <x v="2"/>
    <x v="0"/>
    <x v="1"/>
    <n v="3096"/>
    <n v="1331.28"/>
    <x v="2"/>
    <x v="1"/>
    <x v="24"/>
  </r>
  <r>
    <d v="2019-02-24T00:00:00"/>
    <x v="8"/>
    <x v="1"/>
    <x v="1"/>
    <x v="0"/>
    <n v="7169"/>
    <n v="1362.11"/>
    <x v="2"/>
    <x v="1"/>
    <x v="24"/>
  </r>
  <r>
    <d v="2019-02-24T00:00:00"/>
    <x v="9"/>
    <x v="1"/>
    <x v="1"/>
    <x v="1"/>
    <n v="1732"/>
    <n v="415.68"/>
    <x v="2"/>
    <x v="1"/>
    <x v="24"/>
  </r>
  <r>
    <d v="2019-02-24T00:00:00"/>
    <x v="10"/>
    <x v="1"/>
    <x v="0"/>
    <x v="1"/>
    <n v="7981"/>
    <n v="2474.11"/>
    <x v="2"/>
    <x v="1"/>
    <x v="24"/>
  </r>
  <r>
    <d v="2019-02-24T00:00:00"/>
    <x v="11"/>
    <x v="0"/>
    <x v="0"/>
    <x v="1"/>
    <n v="9585"/>
    <n v="3450.6"/>
    <x v="2"/>
    <x v="1"/>
    <x v="24"/>
  </r>
  <r>
    <d v="2019-02-24T00:00:00"/>
    <x v="12"/>
    <x v="1"/>
    <x v="0"/>
    <x v="1"/>
    <n v="11838"/>
    <n v="2367.6"/>
    <x v="2"/>
    <x v="1"/>
    <x v="24"/>
  </r>
  <r>
    <d v="2019-02-24T00:00:00"/>
    <x v="13"/>
    <x v="1"/>
    <x v="0"/>
    <x v="1"/>
    <n v="1953"/>
    <n v="468.72"/>
    <x v="2"/>
    <x v="1"/>
    <x v="24"/>
  </r>
  <r>
    <d v="2019-02-24T00:00:00"/>
    <x v="14"/>
    <x v="2"/>
    <x v="0"/>
    <x v="0"/>
    <n v="3048"/>
    <n v="822.96"/>
    <x v="2"/>
    <x v="1"/>
    <x v="24"/>
  </r>
  <r>
    <d v="2019-02-24T00:00:00"/>
    <x v="15"/>
    <x v="1"/>
    <x v="1"/>
    <x v="0"/>
    <n v="7864"/>
    <n v="3145.6"/>
    <x v="2"/>
    <x v="1"/>
    <x v="24"/>
  </r>
  <r>
    <d v="2019-02-24T00:00:00"/>
    <x v="16"/>
    <x v="0"/>
    <x v="0"/>
    <x v="1"/>
    <n v="10925"/>
    <n v="3168.25"/>
    <x v="2"/>
    <x v="1"/>
    <x v="24"/>
  </r>
  <r>
    <d v="2019-02-24T00:00:00"/>
    <x v="17"/>
    <x v="0"/>
    <x v="0"/>
    <x v="1"/>
    <n v="1230"/>
    <n v="467.4"/>
    <x v="2"/>
    <x v="1"/>
    <x v="24"/>
  </r>
  <r>
    <d v="2019-02-24T00:00:00"/>
    <x v="18"/>
    <x v="0"/>
    <x v="1"/>
    <x v="0"/>
    <n v="7914"/>
    <n v="1503.66"/>
    <x v="2"/>
    <x v="1"/>
    <x v="24"/>
  </r>
  <r>
    <d v="2019-02-24T00:00:00"/>
    <x v="19"/>
    <x v="2"/>
    <x v="0"/>
    <x v="0"/>
    <n v="9978"/>
    <n v="3192.96"/>
    <x v="2"/>
    <x v="1"/>
    <x v="24"/>
  </r>
  <r>
    <d v="2019-02-24T00:00:00"/>
    <x v="20"/>
    <x v="0"/>
    <x v="1"/>
    <x v="1"/>
    <n v="6793"/>
    <n v="1222.74"/>
    <x v="2"/>
    <x v="1"/>
    <x v="24"/>
  </r>
  <r>
    <d v="2019-02-24T00:00:00"/>
    <x v="21"/>
    <x v="0"/>
    <x v="0"/>
    <x v="0"/>
    <n v="5112"/>
    <n v="1329.12"/>
    <x v="2"/>
    <x v="1"/>
    <x v="24"/>
  </r>
  <r>
    <d v="2019-02-24T00:00:00"/>
    <x v="22"/>
    <x v="2"/>
    <x v="0"/>
    <x v="1"/>
    <n v="8020"/>
    <n v="3288.2"/>
    <x v="2"/>
    <x v="1"/>
    <x v="24"/>
  </r>
  <r>
    <d v="2019-02-24T00:00:00"/>
    <x v="23"/>
    <x v="0"/>
    <x v="0"/>
    <x v="1"/>
    <n v="5233"/>
    <n v="941.94"/>
    <x v="2"/>
    <x v="1"/>
    <x v="24"/>
  </r>
  <r>
    <d v="2019-02-24T00:00:00"/>
    <x v="24"/>
    <x v="2"/>
    <x v="0"/>
    <x v="1"/>
    <n v="11630"/>
    <n v="3372.7"/>
    <x v="2"/>
    <x v="1"/>
    <x v="24"/>
  </r>
  <r>
    <d v="2019-02-24T00:00:00"/>
    <x v="25"/>
    <x v="2"/>
    <x v="1"/>
    <x v="1"/>
    <n v="8901"/>
    <n v="2759.31"/>
    <x v="2"/>
    <x v="1"/>
    <x v="24"/>
  </r>
  <r>
    <d v="2019-02-24T00:00:00"/>
    <x v="26"/>
    <x v="2"/>
    <x v="0"/>
    <x v="1"/>
    <n v="7075"/>
    <n v="3183.75"/>
    <x v="2"/>
    <x v="1"/>
    <x v="24"/>
  </r>
  <r>
    <d v="2019-02-24T00:00:00"/>
    <x v="27"/>
    <x v="2"/>
    <x v="1"/>
    <x v="0"/>
    <n v="11718"/>
    <n v="4218.4799999999996"/>
    <x v="2"/>
    <x v="1"/>
    <x v="24"/>
  </r>
  <r>
    <d v="2019-02-24T00:00:00"/>
    <x v="28"/>
    <x v="1"/>
    <x v="0"/>
    <x v="0"/>
    <n v="3239"/>
    <n v="906.92"/>
    <x v="2"/>
    <x v="1"/>
    <x v="24"/>
  </r>
  <r>
    <d v="2019-02-24T00:00:00"/>
    <x v="29"/>
    <x v="2"/>
    <x v="1"/>
    <x v="1"/>
    <n v="4516"/>
    <n v="1806.4"/>
    <x v="2"/>
    <x v="1"/>
    <x v="24"/>
  </r>
  <r>
    <d v="2019-02-24T00:00:00"/>
    <x v="30"/>
    <x v="0"/>
    <x v="0"/>
    <x v="1"/>
    <n v="4823"/>
    <n v="1350.44"/>
    <x v="2"/>
    <x v="1"/>
    <x v="24"/>
  </r>
  <r>
    <d v="2019-02-24T00:00:00"/>
    <x v="31"/>
    <x v="1"/>
    <x v="1"/>
    <x v="0"/>
    <n v="3169"/>
    <n v="475.35"/>
    <x v="2"/>
    <x v="1"/>
    <x v="24"/>
  </r>
  <r>
    <d v="2019-02-24T00:00:00"/>
    <x v="32"/>
    <x v="2"/>
    <x v="0"/>
    <x v="0"/>
    <n v="6883"/>
    <n v="2959.69"/>
    <x v="2"/>
    <x v="1"/>
    <x v="24"/>
  </r>
  <r>
    <d v="2019-03-30T00:00:00"/>
    <x v="0"/>
    <x v="1"/>
    <x v="0"/>
    <x v="1"/>
    <n v="2690"/>
    <n v="833.9"/>
    <x v="2"/>
    <x v="2"/>
    <x v="4"/>
  </r>
  <r>
    <d v="2019-03-26T00:00:00"/>
    <x v="1"/>
    <x v="1"/>
    <x v="1"/>
    <x v="0"/>
    <n v="10203"/>
    <n v="4387.29"/>
    <x v="2"/>
    <x v="2"/>
    <x v="4"/>
  </r>
  <r>
    <d v="2019-03-25T00:00:00"/>
    <x v="2"/>
    <x v="1"/>
    <x v="0"/>
    <x v="1"/>
    <n v="1631"/>
    <n v="587.16"/>
    <x v="2"/>
    <x v="2"/>
    <x v="4"/>
  </r>
  <r>
    <d v="2019-03-25T00:00:00"/>
    <x v="3"/>
    <x v="0"/>
    <x v="1"/>
    <x v="1"/>
    <n v="5025"/>
    <n v="804"/>
    <x v="2"/>
    <x v="2"/>
    <x v="4"/>
  </r>
  <r>
    <d v="2019-03-25T00:00:00"/>
    <x v="4"/>
    <x v="1"/>
    <x v="0"/>
    <x v="1"/>
    <n v="9670"/>
    <n v="2514.1999999999998"/>
    <x v="2"/>
    <x v="2"/>
    <x v="4"/>
  </r>
  <r>
    <d v="2019-03-25T00:00:00"/>
    <x v="5"/>
    <x v="2"/>
    <x v="0"/>
    <x v="1"/>
    <n v="8905"/>
    <n v="3562"/>
    <x v="2"/>
    <x v="2"/>
    <x v="4"/>
  </r>
  <r>
    <d v="2019-03-24T00:00:00"/>
    <x v="6"/>
    <x v="0"/>
    <x v="1"/>
    <x v="1"/>
    <n v="8001"/>
    <n v="3200.4"/>
    <x v="2"/>
    <x v="2"/>
    <x v="25"/>
  </r>
  <r>
    <d v="2019-03-30T00:00:00"/>
    <x v="7"/>
    <x v="1"/>
    <x v="0"/>
    <x v="0"/>
    <n v="6497"/>
    <n v="1819.16"/>
    <x v="2"/>
    <x v="2"/>
    <x v="4"/>
  </r>
  <r>
    <d v="2019-03-30T00:00:00"/>
    <x v="8"/>
    <x v="2"/>
    <x v="0"/>
    <x v="0"/>
    <n v="5836"/>
    <n v="1050.48"/>
    <x v="2"/>
    <x v="2"/>
    <x v="4"/>
  </r>
  <r>
    <d v="2019-03-30T00:00:00"/>
    <x v="9"/>
    <x v="2"/>
    <x v="0"/>
    <x v="1"/>
    <n v="4311"/>
    <n v="1034.6400000000001"/>
    <x v="2"/>
    <x v="2"/>
    <x v="4"/>
  </r>
  <r>
    <d v="2019-03-30T00:00:00"/>
    <x v="10"/>
    <x v="1"/>
    <x v="1"/>
    <x v="1"/>
    <n v="5278"/>
    <n v="1108.3800000000001"/>
    <x v="2"/>
    <x v="2"/>
    <x v="4"/>
  </r>
  <r>
    <d v="2019-03-30T00:00:00"/>
    <x v="11"/>
    <x v="1"/>
    <x v="0"/>
    <x v="0"/>
    <n v="4518"/>
    <n v="1536.12"/>
    <x v="2"/>
    <x v="2"/>
    <x v="4"/>
  </r>
  <r>
    <d v="2019-03-30T00:00:00"/>
    <x v="12"/>
    <x v="1"/>
    <x v="1"/>
    <x v="0"/>
    <n v="7167"/>
    <n v="2580.12"/>
    <x v="2"/>
    <x v="2"/>
    <x v="4"/>
  </r>
  <r>
    <d v="2019-03-30T00:00:00"/>
    <x v="13"/>
    <x v="0"/>
    <x v="1"/>
    <x v="1"/>
    <n v="8612"/>
    <n v="1377.92"/>
    <x v="2"/>
    <x v="2"/>
    <x v="4"/>
  </r>
  <r>
    <d v="2019-03-26T00:00:00"/>
    <x v="14"/>
    <x v="0"/>
    <x v="0"/>
    <x v="0"/>
    <n v="3078"/>
    <n v="1385.1"/>
    <x v="2"/>
    <x v="2"/>
    <x v="4"/>
  </r>
  <r>
    <d v="2019-03-25T00:00:00"/>
    <x v="15"/>
    <x v="1"/>
    <x v="0"/>
    <x v="1"/>
    <n v="6623"/>
    <n v="2384.2800000000002"/>
    <x v="2"/>
    <x v="2"/>
    <x v="4"/>
  </r>
  <r>
    <d v="2019-03-25T00:00:00"/>
    <x v="16"/>
    <x v="2"/>
    <x v="1"/>
    <x v="1"/>
    <n v="6153"/>
    <n v="2030.49"/>
    <x v="2"/>
    <x v="2"/>
    <x v="4"/>
  </r>
  <r>
    <d v="2019-03-25T00:00:00"/>
    <x v="17"/>
    <x v="2"/>
    <x v="1"/>
    <x v="1"/>
    <n v="8954"/>
    <n v="1880.34"/>
    <x v="2"/>
    <x v="2"/>
    <x v="4"/>
  </r>
  <r>
    <d v="2019-03-25T00:00:00"/>
    <x v="18"/>
    <x v="1"/>
    <x v="1"/>
    <x v="1"/>
    <n v="5985"/>
    <n v="957.6"/>
    <x v="2"/>
    <x v="2"/>
    <x v="4"/>
  </r>
  <r>
    <d v="2019-03-24T00:00:00"/>
    <x v="19"/>
    <x v="1"/>
    <x v="0"/>
    <x v="1"/>
    <n v="2063"/>
    <n v="309.45"/>
    <x v="2"/>
    <x v="2"/>
    <x v="25"/>
  </r>
  <r>
    <d v="2019-03-31T00:00:00"/>
    <x v="20"/>
    <x v="1"/>
    <x v="1"/>
    <x v="0"/>
    <n v="8310"/>
    <n v="2326.8000000000002"/>
    <x v="2"/>
    <x v="2"/>
    <x v="4"/>
  </r>
  <r>
    <d v="2019-03-31T00:00:00"/>
    <x v="21"/>
    <x v="0"/>
    <x v="0"/>
    <x v="0"/>
    <n v="10620"/>
    <n v="4566.6000000000004"/>
    <x v="2"/>
    <x v="2"/>
    <x v="4"/>
  </r>
  <r>
    <d v="2019-03-31T00:00:00"/>
    <x v="22"/>
    <x v="1"/>
    <x v="0"/>
    <x v="1"/>
    <n v="11451"/>
    <n v="1946.67"/>
    <x v="2"/>
    <x v="2"/>
    <x v="4"/>
  </r>
  <r>
    <d v="2019-04-30T00:00:00"/>
    <x v="0"/>
    <x v="1"/>
    <x v="0"/>
    <x v="1"/>
    <n v="5236"/>
    <n v="1047.2"/>
    <x v="2"/>
    <x v="3"/>
    <x v="5"/>
  </r>
  <r>
    <d v="2019-04-30T00:00:00"/>
    <x v="1"/>
    <x v="2"/>
    <x v="0"/>
    <x v="0"/>
    <n v="5760"/>
    <n v="1324.8"/>
    <x v="2"/>
    <x v="3"/>
    <x v="5"/>
  </r>
  <r>
    <d v="2019-04-30T00:00:00"/>
    <x v="2"/>
    <x v="1"/>
    <x v="0"/>
    <x v="0"/>
    <n v="3643"/>
    <n v="1602.92"/>
    <x v="2"/>
    <x v="3"/>
    <x v="5"/>
  </r>
  <r>
    <d v="2019-04-30T00:00:00"/>
    <x v="3"/>
    <x v="0"/>
    <x v="0"/>
    <x v="1"/>
    <n v="7106"/>
    <n v="2344.98"/>
    <x v="2"/>
    <x v="3"/>
    <x v="5"/>
  </r>
  <r>
    <d v="2019-04-26T00:00:00"/>
    <x v="4"/>
    <x v="0"/>
    <x v="0"/>
    <x v="0"/>
    <n v="4744"/>
    <n v="1423.2"/>
    <x v="2"/>
    <x v="3"/>
    <x v="6"/>
  </r>
  <r>
    <d v="2019-04-25T00:00:00"/>
    <x v="5"/>
    <x v="0"/>
    <x v="1"/>
    <x v="1"/>
    <n v="7525"/>
    <n v="1505"/>
    <x v="2"/>
    <x v="3"/>
    <x v="6"/>
  </r>
  <r>
    <d v="2019-04-25T00:00:00"/>
    <x v="6"/>
    <x v="2"/>
    <x v="1"/>
    <x v="1"/>
    <n v="5913"/>
    <n v="1655.64"/>
    <x v="2"/>
    <x v="3"/>
    <x v="6"/>
  </r>
  <r>
    <d v="2019-04-25T00:00:00"/>
    <x v="7"/>
    <x v="0"/>
    <x v="0"/>
    <x v="1"/>
    <n v="3209"/>
    <n v="1251.51"/>
    <x v="2"/>
    <x v="3"/>
    <x v="6"/>
  </r>
  <r>
    <d v="2019-04-25T00:00:00"/>
    <x v="8"/>
    <x v="0"/>
    <x v="1"/>
    <x v="1"/>
    <n v="7110"/>
    <n v="2630.7"/>
    <x v="2"/>
    <x v="3"/>
    <x v="6"/>
  </r>
  <r>
    <d v="2019-04-24T00:00:00"/>
    <x v="9"/>
    <x v="2"/>
    <x v="0"/>
    <x v="1"/>
    <n v="8711"/>
    <n v="3919.95"/>
    <x v="2"/>
    <x v="3"/>
    <x v="6"/>
  </r>
  <r>
    <d v="2019-04-30T00:00:00"/>
    <x v="10"/>
    <x v="0"/>
    <x v="0"/>
    <x v="0"/>
    <n v="7404"/>
    <n v="1258.68"/>
    <x v="2"/>
    <x v="3"/>
    <x v="5"/>
  </r>
  <r>
    <d v="2019-04-30T00:00:00"/>
    <x v="11"/>
    <x v="2"/>
    <x v="0"/>
    <x v="0"/>
    <n v="9596"/>
    <n v="3070.72"/>
    <x v="2"/>
    <x v="3"/>
    <x v="5"/>
  </r>
  <r>
    <d v="2019-04-30T00:00:00"/>
    <x v="12"/>
    <x v="2"/>
    <x v="1"/>
    <x v="1"/>
    <n v="5804"/>
    <n v="1683.16"/>
    <x v="2"/>
    <x v="3"/>
    <x v="5"/>
  </r>
  <r>
    <d v="2019-04-30T00:00:00"/>
    <x v="13"/>
    <x v="2"/>
    <x v="0"/>
    <x v="1"/>
    <n v="8169"/>
    <n v="1470.42"/>
    <x v="2"/>
    <x v="3"/>
    <x v="5"/>
  </r>
  <r>
    <d v="2019-04-30T00:00:00"/>
    <x v="14"/>
    <x v="2"/>
    <x v="1"/>
    <x v="0"/>
    <n v="9516"/>
    <n v="2949.96"/>
    <x v="2"/>
    <x v="3"/>
    <x v="5"/>
  </r>
  <r>
    <d v="2019-04-30T00:00:00"/>
    <x v="15"/>
    <x v="1"/>
    <x v="1"/>
    <x v="0"/>
    <n v="5780"/>
    <n v="2543.1999999999998"/>
    <x v="2"/>
    <x v="3"/>
    <x v="5"/>
  </r>
  <r>
    <d v="2019-04-30T00:00:00"/>
    <x v="16"/>
    <x v="2"/>
    <x v="1"/>
    <x v="1"/>
    <n v="4745"/>
    <n v="1233.7"/>
    <x v="2"/>
    <x v="3"/>
    <x v="5"/>
  </r>
  <r>
    <d v="2019-04-26T00:00:00"/>
    <x v="17"/>
    <x v="0"/>
    <x v="0"/>
    <x v="0"/>
    <n v="10863"/>
    <n v="3584.79"/>
    <x v="2"/>
    <x v="3"/>
    <x v="6"/>
  </r>
  <r>
    <d v="2019-04-25T00:00:00"/>
    <x v="18"/>
    <x v="1"/>
    <x v="0"/>
    <x v="1"/>
    <n v="4695"/>
    <n v="939"/>
    <x v="2"/>
    <x v="3"/>
    <x v="6"/>
  </r>
  <r>
    <d v="2019-04-25T00:00:00"/>
    <x v="19"/>
    <x v="2"/>
    <x v="0"/>
    <x v="1"/>
    <n v="8700"/>
    <n v="3654"/>
    <x v="2"/>
    <x v="3"/>
    <x v="6"/>
  </r>
  <r>
    <d v="2019-04-25T00:00:00"/>
    <x v="20"/>
    <x v="1"/>
    <x v="0"/>
    <x v="1"/>
    <n v="3430"/>
    <n v="1234.8"/>
    <x v="2"/>
    <x v="3"/>
    <x v="6"/>
  </r>
  <r>
    <d v="2019-04-25T00:00:00"/>
    <x v="21"/>
    <x v="1"/>
    <x v="1"/>
    <x v="1"/>
    <n v="7264"/>
    <n v="1380.16"/>
    <x v="2"/>
    <x v="3"/>
    <x v="6"/>
  </r>
  <r>
    <d v="2019-04-24T00:00:00"/>
    <x v="22"/>
    <x v="1"/>
    <x v="0"/>
    <x v="1"/>
    <n v="3340"/>
    <n v="668"/>
    <x v="2"/>
    <x v="3"/>
    <x v="6"/>
  </r>
  <r>
    <d v="2019-05-31T00:00:00"/>
    <x v="0"/>
    <x v="0"/>
    <x v="0"/>
    <x v="0"/>
    <n v="2906"/>
    <n v="1278.6400000000001"/>
    <x v="2"/>
    <x v="4"/>
    <x v="8"/>
  </r>
  <r>
    <d v="2019-05-31T00:00:00"/>
    <x v="1"/>
    <x v="1"/>
    <x v="1"/>
    <x v="0"/>
    <n v="9058"/>
    <n v="3623.2"/>
    <x v="2"/>
    <x v="4"/>
    <x v="8"/>
  </r>
  <r>
    <d v="2019-05-31T00:00:00"/>
    <x v="2"/>
    <x v="2"/>
    <x v="1"/>
    <x v="1"/>
    <n v="5570"/>
    <n v="1002.6"/>
    <x v="2"/>
    <x v="4"/>
    <x v="8"/>
  </r>
  <r>
    <d v="2019-05-31T00:00:00"/>
    <x v="3"/>
    <x v="0"/>
    <x v="0"/>
    <x v="1"/>
    <n v="8034"/>
    <n v="2972.58"/>
    <x v="2"/>
    <x v="4"/>
    <x v="8"/>
  </r>
  <r>
    <d v="2019-05-31T00:00:00"/>
    <x v="4"/>
    <x v="1"/>
    <x v="1"/>
    <x v="0"/>
    <n v="8014"/>
    <n v="2564.48"/>
    <x v="2"/>
    <x v="4"/>
    <x v="8"/>
  </r>
  <r>
    <d v="2019-05-31T00:00:00"/>
    <x v="5"/>
    <x v="1"/>
    <x v="1"/>
    <x v="0"/>
    <n v="2807"/>
    <n v="701.75"/>
    <x v="2"/>
    <x v="4"/>
    <x v="8"/>
  </r>
  <r>
    <d v="2019-05-30T00:00:00"/>
    <x v="6"/>
    <x v="0"/>
    <x v="1"/>
    <x v="1"/>
    <n v="5825"/>
    <n v="1456.25"/>
    <x v="2"/>
    <x v="4"/>
    <x v="8"/>
  </r>
  <r>
    <d v="2019-05-26T00:00:00"/>
    <x v="7"/>
    <x v="1"/>
    <x v="1"/>
    <x v="0"/>
    <n v="5975"/>
    <n v="1195"/>
    <x v="2"/>
    <x v="4"/>
    <x v="23"/>
  </r>
  <r>
    <d v="2019-05-25T00:00:00"/>
    <x v="8"/>
    <x v="2"/>
    <x v="1"/>
    <x v="1"/>
    <n v="5361"/>
    <n v="1983.57"/>
    <x v="2"/>
    <x v="4"/>
    <x v="23"/>
  </r>
  <r>
    <d v="2019-05-25T00:00:00"/>
    <x v="9"/>
    <x v="0"/>
    <x v="1"/>
    <x v="1"/>
    <n v="7790"/>
    <n v="3116"/>
    <x v="2"/>
    <x v="4"/>
    <x v="23"/>
  </r>
  <r>
    <d v="2019-05-25T00:00:00"/>
    <x v="10"/>
    <x v="1"/>
    <x v="0"/>
    <x v="1"/>
    <n v="11011"/>
    <n v="4404.3999999999996"/>
    <x v="2"/>
    <x v="4"/>
    <x v="23"/>
  </r>
  <r>
    <d v="2019-05-25T00:00:00"/>
    <x v="11"/>
    <x v="2"/>
    <x v="0"/>
    <x v="1"/>
    <n v="7232"/>
    <n v="2024.96"/>
    <x v="2"/>
    <x v="4"/>
    <x v="23"/>
  </r>
  <r>
    <d v="2019-05-24T00:00:00"/>
    <x v="12"/>
    <x v="2"/>
    <x v="1"/>
    <x v="1"/>
    <n v="9263"/>
    <n v="3612.57"/>
    <x v="2"/>
    <x v="4"/>
    <x v="23"/>
  </r>
  <r>
    <d v="2019-06-30T00:00:00"/>
    <x v="0"/>
    <x v="1"/>
    <x v="0"/>
    <x v="0"/>
    <n v="4757"/>
    <n v="1236.82"/>
    <x v="2"/>
    <x v="5"/>
    <x v="10"/>
  </r>
  <r>
    <d v="2019-06-30T00:00:00"/>
    <x v="1"/>
    <x v="1"/>
    <x v="0"/>
    <x v="0"/>
    <n v="1475"/>
    <n v="295"/>
    <x v="2"/>
    <x v="5"/>
    <x v="10"/>
  </r>
  <r>
    <d v="2019-06-30T00:00:00"/>
    <x v="2"/>
    <x v="1"/>
    <x v="0"/>
    <x v="1"/>
    <n v="8880"/>
    <n v="1953.6"/>
    <x v="2"/>
    <x v="5"/>
    <x v="10"/>
  </r>
  <r>
    <d v="2019-06-30T00:00:00"/>
    <x v="3"/>
    <x v="0"/>
    <x v="1"/>
    <x v="1"/>
    <n v="3727"/>
    <n v="931.75"/>
    <x v="2"/>
    <x v="5"/>
    <x v="10"/>
  </r>
  <r>
    <d v="2019-06-30T00:00:00"/>
    <x v="4"/>
    <x v="0"/>
    <x v="0"/>
    <x v="0"/>
    <n v="9202"/>
    <n v="2944.64"/>
    <x v="2"/>
    <x v="5"/>
    <x v="10"/>
  </r>
  <r>
    <d v="2019-06-30T00:00:00"/>
    <x v="5"/>
    <x v="1"/>
    <x v="0"/>
    <x v="0"/>
    <n v="7577"/>
    <n v="3409.65"/>
    <x v="2"/>
    <x v="5"/>
    <x v="10"/>
  </r>
  <r>
    <d v="2019-06-30T00:00:00"/>
    <x v="6"/>
    <x v="2"/>
    <x v="1"/>
    <x v="1"/>
    <n v="7589"/>
    <n v="3035.6"/>
    <x v="2"/>
    <x v="5"/>
    <x v="10"/>
  </r>
  <r>
    <d v="2019-06-26T00:00:00"/>
    <x v="7"/>
    <x v="2"/>
    <x v="0"/>
    <x v="0"/>
    <n v="8828"/>
    <n v="2560.12"/>
    <x v="2"/>
    <x v="5"/>
    <x v="10"/>
  </r>
  <r>
    <d v="2019-06-25T00:00:00"/>
    <x v="8"/>
    <x v="1"/>
    <x v="1"/>
    <x v="1"/>
    <n v="8355"/>
    <n v="3258.45"/>
    <x v="2"/>
    <x v="5"/>
    <x v="10"/>
  </r>
  <r>
    <d v="2019-06-25T00:00:00"/>
    <x v="9"/>
    <x v="1"/>
    <x v="1"/>
    <x v="1"/>
    <n v="5112"/>
    <n v="1022.4"/>
    <x v="2"/>
    <x v="5"/>
    <x v="10"/>
  </r>
  <r>
    <d v="2019-06-25T00:00:00"/>
    <x v="10"/>
    <x v="1"/>
    <x v="1"/>
    <x v="1"/>
    <n v="4800"/>
    <n v="1968"/>
    <x v="2"/>
    <x v="5"/>
    <x v="10"/>
  </r>
  <r>
    <d v="2019-06-25T00:00:00"/>
    <x v="11"/>
    <x v="0"/>
    <x v="0"/>
    <x v="1"/>
    <n v="10015"/>
    <n v="2704.05"/>
    <x v="2"/>
    <x v="5"/>
    <x v="10"/>
  </r>
  <r>
    <d v="2019-06-24T00:00:00"/>
    <x v="12"/>
    <x v="1"/>
    <x v="1"/>
    <x v="1"/>
    <n v="1383"/>
    <n v="525.54"/>
    <x v="2"/>
    <x v="5"/>
    <x v="10"/>
  </r>
  <r>
    <d v="2019-06-24T00:00:00"/>
    <x v="13"/>
    <x v="1"/>
    <x v="0"/>
    <x v="0"/>
    <n v="11901"/>
    <n v="3927.33"/>
    <x v="2"/>
    <x v="5"/>
    <x v="10"/>
  </r>
  <r>
    <d v="2019-06-24T00:00:00"/>
    <x v="14"/>
    <x v="2"/>
    <x v="0"/>
    <x v="0"/>
    <n v="5493"/>
    <n v="823.95"/>
    <x v="2"/>
    <x v="5"/>
    <x v="10"/>
  </r>
  <r>
    <d v="2019-07-31T00:00:00"/>
    <x v="0"/>
    <x v="1"/>
    <x v="0"/>
    <x v="1"/>
    <n v="2655"/>
    <n v="769.95"/>
    <x v="2"/>
    <x v="6"/>
    <x v="11"/>
  </r>
  <r>
    <d v="2019-07-31T00:00:00"/>
    <x v="1"/>
    <x v="0"/>
    <x v="0"/>
    <x v="1"/>
    <n v="4016"/>
    <n v="642.55999999999995"/>
    <x v="2"/>
    <x v="6"/>
    <x v="11"/>
  </r>
  <r>
    <d v="2019-07-31T00:00:00"/>
    <x v="2"/>
    <x v="0"/>
    <x v="1"/>
    <x v="0"/>
    <n v="8320"/>
    <n v="3161.6"/>
    <x v="2"/>
    <x v="6"/>
    <x v="11"/>
  </r>
  <r>
    <d v="2019-07-31T00:00:00"/>
    <x v="3"/>
    <x v="0"/>
    <x v="0"/>
    <x v="0"/>
    <n v="3614"/>
    <n v="1084.2"/>
    <x v="2"/>
    <x v="6"/>
    <x v="11"/>
  </r>
  <r>
    <d v="2019-07-30T00:00:00"/>
    <x v="4"/>
    <x v="2"/>
    <x v="1"/>
    <x v="1"/>
    <n v="3266"/>
    <n v="620.54"/>
    <x v="2"/>
    <x v="6"/>
    <x v="11"/>
  </r>
  <r>
    <d v="2019-07-26T00:00:00"/>
    <x v="5"/>
    <x v="0"/>
    <x v="1"/>
    <x v="0"/>
    <n v="9567"/>
    <n v="3252.78"/>
    <x v="2"/>
    <x v="6"/>
    <x v="12"/>
  </r>
  <r>
    <d v="2019-07-25T00:00:00"/>
    <x v="6"/>
    <x v="0"/>
    <x v="0"/>
    <x v="1"/>
    <n v="7280"/>
    <n v="2184"/>
    <x v="2"/>
    <x v="6"/>
    <x v="12"/>
  </r>
  <r>
    <d v="2019-07-25T00:00:00"/>
    <x v="7"/>
    <x v="2"/>
    <x v="0"/>
    <x v="1"/>
    <n v="8871"/>
    <n v="3903.24"/>
    <x v="2"/>
    <x v="6"/>
    <x v="12"/>
  </r>
  <r>
    <d v="2019-07-25T00:00:00"/>
    <x v="8"/>
    <x v="0"/>
    <x v="0"/>
    <x v="1"/>
    <n v="6551"/>
    <n v="2685.91"/>
    <x v="2"/>
    <x v="6"/>
    <x v="12"/>
  </r>
  <r>
    <d v="2019-07-25T00:00:00"/>
    <x v="9"/>
    <x v="2"/>
    <x v="1"/>
    <x v="1"/>
    <n v="4177"/>
    <n v="1086.02"/>
    <x v="2"/>
    <x v="6"/>
    <x v="12"/>
  </r>
  <r>
    <d v="2019-07-24T00:00:00"/>
    <x v="10"/>
    <x v="2"/>
    <x v="0"/>
    <x v="1"/>
    <n v="9340"/>
    <n v="1868"/>
    <x v="2"/>
    <x v="6"/>
    <x v="12"/>
  </r>
  <r>
    <d v="2019-07-30T00:00:00"/>
    <x v="11"/>
    <x v="2"/>
    <x v="0"/>
    <x v="0"/>
    <n v="5100"/>
    <n v="1734"/>
    <x v="2"/>
    <x v="6"/>
    <x v="11"/>
  </r>
  <r>
    <d v="2019-07-30T00:00:00"/>
    <x v="12"/>
    <x v="2"/>
    <x v="1"/>
    <x v="0"/>
    <n v="6433"/>
    <n v="2251.5500000000002"/>
    <x v="2"/>
    <x v="6"/>
    <x v="11"/>
  </r>
  <r>
    <d v="2019-07-30T00:00:00"/>
    <x v="13"/>
    <x v="1"/>
    <x v="0"/>
    <x v="1"/>
    <n v="5621"/>
    <n v="955.57"/>
    <x v="2"/>
    <x v="6"/>
    <x v="11"/>
  </r>
  <r>
    <d v="2019-07-30T00:00:00"/>
    <x v="14"/>
    <x v="2"/>
    <x v="1"/>
    <x v="1"/>
    <n v="7741"/>
    <n v="2786.76"/>
    <x v="2"/>
    <x v="6"/>
    <x v="11"/>
  </r>
  <r>
    <d v="2019-07-30T00:00:00"/>
    <x v="15"/>
    <x v="0"/>
    <x v="1"/>
    <x v="0"/>
    <n v="5420"/>
    <n v="1842.8"/>
    <x v="2"/>
    <x v="6"/>
    <x v="11"/>
  </r>
  <r>
    <d v="2019-07-30T00:00:00"/>
    <x v="16"/>
    <x v="1"/>
    <x v="1"/>
    <x v="0"/>
    <n v="5381"/>
    <n v="968.58"/>
    <x v="2"/>
    <x v="6"/>
    <x v="11"/>
  </r>
  <r>
    <d v="2019-07-30T00:00:00"/>
    <x v="17"/>
    <x v="2"/>
    <x v="1"/>
    <x v="1"/>
    <n v="7941"/>
    <n v="1191.1500000000001"/>
    <x v="2"/>
    <x v="6"/>
    <x v="11"/>
  </r>
  <r>
    <d v="2019-07-26T00:00:00"/>
    <x v="18"/>
    <x v="1"/>
    <x v="0"/>
    <x v="0"/>
    <n v="11805"/>
    <n v="3187.35"/>
    <x v="2"/>
    <x v="6"/>
    <x v="12"/>
  </r>
  <r>
    <d v="2019-07-25T00:00:00"/>
    <x v="19"/>
    <x v="1"/>
    <x v="0"/>
    <x v="1"/>
    <n v="2674"/>
    <n v="668.5"/>
    <x v="2"/>
    <x v="6"/>
    <x v="12"/>
  </r>
  <r>
    <d v="2019-07-25T00:00:00"/>
    <x v="20"/>
    <x v="1"/>
    <x v="0"/>
    <x v="1"/>
    <n v="2265"/>
    <n v="453"/>
    <x v="2"/>
    <x v="6"/>
    <x v="12"/>
  </r>
  <r>
    <d v="2019-07-25T00:00:00"/>
    <x v="21"/>
    <x v="0"/>
    <x v="1"/>
    <x v="1"/>
    <n v="2738"/>
    <n v="465.46"/>
    <x v="2"/>
    <x v="6"/>
    <x v="12"/>
  </r>
  <r>
    <d v="2019-07-25T00:00:00"/>
    <x v="22"/>
    <x v="1"/>
    <x v="1"/>
    <x v="1"/>
    <n v="9784"/>
    <n v="2348.16"/>
    <x v="2"/>
    <x v="6"/>
    <x v="12"/>
  </r>
  <r>
    <d v="2019-07-24T00:00:00"/>
    <x v="23"/>
    <x v="2"/>
    <x v="0"/>
    <x v="1"/>
    <n v="2747"/>
    <n v="741.69"/>
    <x v="2"/>
    <x v="6"/>
    <x v="12"/>
  </r>
  <r>
    <d v="2019-07-24T00:00:00"/>
    <x v="24"/>
    <x v="0"/>
    <x v="1"/>
    <x v="0"/>
    <n v="8103"/>
    <n v="3646.35"/>
    <x v="2"/>
    <x v="6"/>
    <x v="12"/>
  </r>
  <r>
    <d v="2019-07-24T00:00:00"/>
    <x v="25"/>
    <x v="1"/>
    <x v="1"/>
    <x v="0"/>
    <n v="11279"/>
    <n v="2255.8000000000002"/>
    <x v="2"/>
    <x v="6"/>
    <x v="12"/>
  </r>
  <r>
    <d v="2019-08-31T00:00:00"/>
    <x v="0"/>
    <x v="1"/>
    <x v="1"/>
    <x v="1"/>
    <n v="7796"/>
    <n v="1715.12"/>
    <x v="2"/>
    <x v="7"/>
    <x v="14"/>
  </r>
  <r>
    <d v="2019-08-31T00:00:00"/>
    <x v="1"/>
    <x v="0"/>
    <x v="0"/>
    <x v="1"/>
    <n v="5191"/>
    <n v="1401.57"/>
    <x v="2"/>
    <x v="7"/>
    <x v="14"/>
  </r>
  <r>
    <d v="2019-08-31T00:00:00"/>
    <x v="2"/>
    <x v="1"/>
    <x v="0"/>
    <x v="0"/>
    <n v="10202"/>
    <n v="4386.8599999999997"/>
    <x v="2"/>
    <x v="7"/>
    <x v="14"/>
  </r>
  <r>
    <d v="2019-08-31T00:00:00"/>
    <x v="3"/>
    <x v="2"/>
    <x v="0"/>
    <x v="0"/>
    <n v="2542"/>
    <n v="1118.48"/>
    <x v="2"/>
    <x v="7"/>
    <x v="14"/>
  </r>
  <r>
    <d v="2019-08-30T00:00:00"/>
    <x v="4"/>
    <x v="0"/>
    <x v="0"/>
    <x v="1"/>
    <n v="7371"/>
    <n v="2653.56"/>
    <x v="2"/>
    <x v="7"/>
    <x v="14"/>
  </r>
  <r>
    <d v="2019-08-26T00:00:00"/>
    <x v="5"/>
    <x v="1"/>
    <x v="0"/>
    <x v="0"/>
    <n v="5407"/>
    <n v="919.19"/>
    <x v="2"/>
    <x v="7"/>
    <x v="14"/>
  </r>
  <r>
    <d v="2019-08-25T00:00:00"/>
    <x v="6"/>
    <x v="2"/>
    <x v="1"/>
    <x v="1"/>
    <n v="1917"/>
    <n v="843.48"/>
    <x v="2"/>
    <x v="7"/>
    <x v="26"/>
  </r>
  <r>
    <d v="2019-08-25T00:00:00"/>
    <x v="7"/>
    <x v="2"/>
    <x v="1"/>
    <x v="1"/>
    <n v="11893"/>
    <n v="4281.4799999999996"/>
    <x v="2"/>
    <x v="7"/>
    <x v="26"/>
  </r>
  <r>
    <d v="2019-08-25T00:00:00"/>
    <x v="8"/>
    <x v="1"/>
    <x v="0"/>
    <x v="1"/>
    <n v="3720"/>
    <n v="1302"/>
    <x v="2"/>
    <x v="7"/>
    <x v="26"/>
  </r>
  <r>
    <d v="2019-08-25T00:00:00"/>
    <x v="9"/>
    <x v="1"/>
    <x v="0"/>
    <x v="1"/>
    <n v="8990"/>
    <n v="4045.5"/>
    <x v="2"/>
    <x v="7"/>
    <x v="26"/>
  </r>
  <r>
    <d v="2019-08-24T00:00:00"/>
    <x v="10"/>
    <x v="1"/>
    <x v="1"/>
    <x v="1"/>
    <n v="4966"/>
    <n v="943.54"/>
    <x v="2"/>
    <x v="7"/>
    <x v="26"/>
  </r>
  <r>
    <d v="2019-08-30T00:00:00"/>
    <x v="11"/>
    <x v="0"/>
    <x v="1"/>
    <x v="0"/>
    <n v="3716"/>
    <n v="1560.72"/>
    <x v="2"/>
    <x v="7"/>
    <x v="14"/>
  </r>
  <r>
    <d v="2019-08-30T00:00:00"/>
    <x v="12"/>
    <x v="0"/>
    <x v="0"/>
    <x v="0"/>
    <n v="5439"/>
    <n v="1359.75"/>
    <x v="2"/>
    <x v="7"/>
    <x v="14"/>
  </r>
  <r>
    <d v="2019-08-30T00:00:00"/>
    <x v="13"/>
    <x v="1"/>
    <x v="0"/>
    <x v="1"/>
    <n v="11346"/>
    <n v="5105.7"/>
    <x v="2"/>
    <x v="7"/>
    <x v="14"/>
  </r>
  <r>
    <d v="2019-09-30T00:00:00"/>
    <x v="0"/>
    <x v="2"/>
    <x v="1"/>
    <x v="1"/>
    <n v="3570"/>
    <n v="714"/>
    <x v="2"/>
    <x v="8"/>
    <x v="15"/>
  </r>
  <r>
    <d v="2019-09-30T00:00:00"/>
    <x v="1"/>
    <x v="2"/>
    <x v="0"/>
    <x v="0"/>
    <n v="10060"/>
    <n v="3219.2"/>
    <x v="2"/>
    <x v="8"/>
    <x v="15"/>
  </r>
  <r>
    <d v="2019-09-30T00:00:00"/>
    <x v="2"/>
    <x v="1"/>
    <x v="0"/>
    <x v="0"/>
    <n v="5451"/>
    <n v="1689.81"/>
    <x v="2"/>
    <x v="8"/>
    <x v="15"/>
  </r>
  <r>
    <d v="2019-09-30T00:00:00"/>
    <x v="3"/>
    <x v="1"/>
    <x v="0"/>
    <x v="1"/>
    <n v="7978"/>
    <n v="3430.54"/>
    <x v="2"/>
    <x v="8"/>
    <x v="15"/>
  </r>
  <r>
    <d v="2019-09-26T00:00:00"/>
    <x v="4"/>
    <x v="1"/>
    <x v="1"/>
    <x v="0"/>
    <n v="9168"/>
    <n v="3667.2"/>
    <x v="2"/>
    <x v="8"/>
    <x v="16"/>
  </r>
  <r>
    <d v="2019-09-25T00:00:00"/>
    <x v="5"/>
    <x v="0"/>
    <x v="1"/>
    <x v="1"/>
    <n v="4316"/>
    <n v="776.88"/>
    <x v="2"/>
    <x v="8"/>
    <x v="16"/>
  </r>
  <r>
    <d v="2019-09-25T00:00:00"/>
    <x v="6"/>
    <x v="1"/>
    <x v="0"/>
    <x v="1"/>
    <n v="8909"/>
    <n v="1336.35"/>
    <x v="2"/>
    <x v="8"/>
    <x v="16"/>
  </r>
  <r>
    <d v="2019-09-25T00:00:00"/>
    <x v="7"/>
    <x v="1"/>
    <x v="1"/>
    <x v="1"/>
    <n v="2572"/>
    <n v="565.84"/>
    <x v="2"/>
    <x v="8"/>
    <x v="16"/>
  </r>
  <r>
    <d v="2019-09-25T00:00:00"/>
    <x v="8"/>
    <x v="2"/>
    <x v="1"/>
    <x v="1"/>
    <n v="3685"/>
    <n v="1179.2"/>
    <x v="2"/>
    <x v="8"/>
    <x v="16"/>
  </r>
  <r>
    <d v="2019-09-24T00:00:00"/>
    <x v="9"/>
    <x v="1"/>
    <x v="0"/>
    <x v="1"/>
    <n v="10716"/>
    <n v="2571.84"/>
    <x v="2"/>
    <x v="8"/>
    <x v="16"/>
  </r>
  <r>
    <d v="2019-09-24T00:00:00"/>
    <x v="10"/>
    <x v="0"/>
    <x v="0"/>
    <x v="0"/>
    <n v="5697"/>
    <n v="1196.3699999999999"/>
    <x v="2"/>
    <x v="8"/>
    <x v="16"/>
  </r>
  <r>
    <d v="2019-09-24T00:00:00"/>
    <x v="11"/>
    <x v="0"/>
    <x v="0"/>
    <x v="0"/>
    <n v="9072"/>
    <n v="3810.24"/>
    <x v="2"/>
    <x v="8"/>
    <x v="16"/>
  </r>
  <r>
    <d v="2019-09-24T00:00:00"/>
    <x v="12"/>
    <x v="0"/>
    <x v="0"/>
    <x v="1"/>
    <n v="8048"/>
    <n v="3541.12"/>
    <x v="2"/>
    <x v="8"/>
    <x v="16"/>
  </r>
  <r>
    <d v="2019-09-24T00:00:00"/>
    <x v="13"/>
    <x v="2"/>
    <x v="0"/>
    <x v="1"/>
    <n v="1798"/>
    <n v="683.24"/>
    <x v="2"/>
    <x v="8"/>
    <x v="16"/>
  </r>
  <r>
    <d v="2019-09-24T00:00:00"/>
    <x v="14"/>
    <x v="0"/>
    <x v="1"/>
    <x v="0"/>
    <n v="11640"/>
    <n v="3375.6"/>
    <x v="2"/>
    <x v="8"/>
    <x v="16"/>
  </r>
  <r>
    <d v="2019-09-24T00:00:00"/>
    <x v="15"/>
    <x v="0"/>
    <x v="0"/>
    <x v="0"/>
    <n v="2932"/>
    <n v="1231.44"/>
    <x v="2"/>
    <x v="8"/>
    <x v="16"/>
  </r>
  <r>
    <d v="2019-09-30T00:00:00"/>
    <x v="16"/>
    <x v="2"/>
    <x v="1"/>
    <x v="1"/>
    <n v="6654"/>
    <n v="2861.22"/>
    <x v="2"/>
    <x v="8"/>
    <x v="15"/>
  </r>
  <r>
    <d v="2019-09-26T00:00:00"/>
    <x v="17"/>
    <x v="0"/>
    <x v="0"/>
    <x v="0"/>
    <n v="8405"/>
    <n v="2101.25"/>
    <x v="2"/>
    <x v="8"/>
    <x v="16"/>
  </r>
  <r>
    <d v="2019-09-25T00:00:00"/>
    <x v="18"/>
    <x v="2"/>
    <x v="1"/>
    <x v="1"/>
    <n v="7351"/>
    <n v="2058.2800000000002"/>
    <x v="2"/>
    <x v="8"/>
    <x v="16"/>
  </r>
  <r>
    <d v="2019-09-25T00:00:00"/>
    <x v="19"/>
    <x v="2"/>
    <x v="0"/>
    <x v="1"/>
    <n v="10303"/>
    <n v="1957.57"/>
    <x v="2"/>
    <x v="8"/>
    <x v="16"/>
  </r>
  <r>
    <d v="2019-09-25T00:00:00"/>
    <x v="20"/>
    <x v="2"/>
    <x v="1"/>
    <x v="1"/>
    <n v="10433"/>
    <n v="3129.9"/>
    <x v="2"/>
    <x v="8"/>
    <x v="16"/>
  </r>
  <r>
    <d v="2019-09-25T00:00:00"/>
    <x v="21"/>
    <x v="2"/>
    <x v="1"/>
    <x v="1"/>
    <n v="5960"/>
    <n v="894"/>
    <x v="2"/>
    <x v="8"/>
    <x v="16"/>
  </r>
  <r>
    <d v="2019-09-24T00:00:00"/>
    <x v="22"/>
    <x v="1"/>
    <x v="0"/>
    <x v="1"/>
    <n v="11071"/>
    <n v="3542.72"/>
    <x v="2"/>
    <x v="8"/>
    <x v="16"/>
  </r>
  <r>
    <d v="2019-09-30T00:00:00"/>
    <x v="23"/>
    <x v="2"/>
    <x v="0"/>
    <x v="0"/>
    <n v="2236"/>
    <n v="491.92"/>
    <x v="2"/>
    <x v="8"/>
    <x v="15"/>
  </r>
  <r>
    <d v="2019-09-30T00:00:00"/>
    <x v="24"/>
    <x v="0"/>
    <x v="0"/>
    <x v="0"/>
    <n v="9338"/>
    <n v="2894.78"/>
    <x v="2"/>
    <x v="8"/>
    <x v="15"/>
  </r>
  <r>
    <d v="2019-09-30T00:00:00"/>
    <x v="25"/>
    <x v="1"/>
    <x v="1"/>
    <x v="1"/>
    <n v="8084"/>
    <n v="3152.76"/>
    <x v="2"/>
    <x v="8"/>
    <x v="15"/>
  </r>
  <r>
    <d v="2019-09-30T00:00:00"/>
    <x v="26"/>
    <x v="2"/>
    <x v="1"/>
    <x v="1"/>
    <n v="8669"/>
    <n v="1300.3499999999999"/>
    <x v="2"/>
    <x v="8"/>
    <x v="15"/>
  </r>
  <r>
    <d v="2019-09-30T00:00:00"/>
    <x v="27"/>
    <x v="1"/>
    <x v="0"/>
    <x v="0"/>
    <n v="8873"/>
    <n v="3105.55"/>
    <x v="2"/>
    <x v="8"/>
    <x v="15"/>
  </r>
  <r>
    <d v="2019-09-30T00:00:00"/>
    <x v="28"/>
    <x v="1"/>
    <x v="1"/>
    <x v="0"/>
    <n v="11732"/>
    <n v="4106.2"/>
    <x v="2"/>
    <x v="8"/>
    <x v="15"/>
  </r>
  <r>
    <d v="2019-09-30T00:00:00"/>
    <x v="29"/>
    <x v="1"/>
    <x v="0"/>
    <x v="1"/>
    <n v="3379"/>
    <n v="1385.39"/>
    <x v="2"/>
    <x v="8"/>
    <x v="15"/>
  </r>
  <r>
    <d v="2019-10-26T00:00:00"/>
    <x v="0"/>
    <x v="0"/>
    <x v="0"/>
    <x v="0"/>
    <n v="1885"/>
    <n v="716.3"/>
    <x v="2"/>
    <x v="9"/>
    <x v="18"/>
  </r>
  <r>
    <d v="2019-10-25T00:00:00"/>
    <x v="1"/>
    <x v="1"/>
    <x v="1"/>
    <x v="1"/>
    <n v="7223"/>
    <n v="3033.66"/>
    <x v="2"/>
    <x v="9"/>
    <x v="18"/>
  </r>
  <r>
    <d v="2019-10-25T00:00:00"/>
    <x v="2"/>
    <x v="2"/>
    <x v="0"/>
    <x v="1"/>
    <n v="11457"/>
    <n v="5155.6499999999996"/>
    <x v="2"/>
    <x v="9"/>
    <x v="18"/>
  </r>
  <r>
    <d v="2019-10-25T00:00:00"/>
    <x v="3"/>
    <x v="0"/>
    <x v="1"/>
    <x v="1"/>
    <n v="2526"/>
    <n v="959.88"/>
    <x v="2"/>
    <x v="9"/>
    <x v="18"/>
  </r>
  <r>
    <d v="2019-10-25T00:00:00"/>
    <x v="4"/>
    <x v="1"/>
    <x v="1"/>
    <x v="1"/>
    <n v="8643"/>
    <n v="3197.91"/>
    <x v="2"/>
    <x v="9"/>
    <x v="18"/>
  </r>
  <r>
    <d v="2019-10-24T00:00:00"/>
    <x v="5"/>
    <x v="1"/>
    <x v="1"/>
    <x v="1"/>
    <n v="1786"/>
    <n v="392.92"/>
    <x v="2"/>
    <x v="9"/>
    <x v="18"/>
  </r>
  <r>
    <d v="2019-10-31T00:00:00"/>
    <x v="6"/>
    <x v="0"/>
    <x v="0"/>
    <x v="0"/>
    <n v="8903"/>
    <n v="1335.45"/>
    <x v="2"/>
    <x v="9"/>
    <x v="17"/>
  </r>
  <r>
    <d v="2019-10-31T00:00:00"/>
    <x v="7"/>
    <x v="1"/>
    <x v="0"/>
    <x v="0"/>
    <n v="5866"/>
    <n v="997.22"/>
    <x v="2"/>
    <x v="9"/>
    <x v="17"/>
  </r>
  <r>
    <d v="2019-10-31T00:00:00"/>
    <x v="8"/>
    <x v="2"/>
    <x v="0"/>
    <x v="1"/>
    <n v="9172"/>
    <n v="2659.88"/>
    <x v="2"/>
    <x v="9"/>
    <x v="17"/>
  </r>
  <r>
    <d v="2019-10-31T00:00:00"/>
    <x v="9"/>
    <x v="0"/>
    <x v="1"/>
    <x v="1"/>
    <n v="11208"/>
    <n v="2353.6799999999998"/>
    <x v="2"/>
    <x v="9"/>
    <x v="17"/>
  </r>
  <r>
    <d v="2019-10-31T00:00:00"/>
    <x v="10"/>
    <x v="1"/>
    <x v="0"/>
    <x v="0"/>
    <n v="1314"/>
    <n v="302.22000000000003"/>
    <x v="2"/>
    <x v="9"/>
    <x v="17"/>
  </r>
  <r>
    <d v="2019-10-31T00:00:00"/>
    <x v="11"/>
    <x v="2"/>
    <x v="1"/>
    <x v="0"/>
    <n v="1834"/>
    <n v="476.84"/>
    <x v="2"/>
    <x v="9"/>
    <x v="17"/>
  </r>
  <r>
    <d v="2019-10-30T00:00:00"/>
    <x v="12"/>
    <x v="2"/>
    <x v="1"/>
    <x v="1"/>
    <n v="5577"/>
    <n v="2509.65"/>
    <x v="2"/>
    <x v="9"/>
    <x v="17"/>
  </r>
  <r>
    <d v="2019-10-26T00:00:00"/>
    <x v="13"/>
    <x v="1"/>
    <x v="1"/>
    <x v="0"/>
    <n v="9480"/>
    <n v="3128.4"/>
    <x v="2"/>
    <x v="9"/>
    <x v="18"/>
  </r>
  <r>
    <d v="2019-10-25T00:00:00"/>
    <x v="14"/>
    <x v="1"/>
    <x v="1"/>
    <x v="1"/>
    <n v="7364"/>
    <n v="1472.8"/>
    <x v="2"/>
    <x v="9"/>
    <x v="18"/>
  </r>
  <r>
    <d v="2019-10-25T00:00:00"/>
    <x v="15"/>
    <x v="1"/>
    <x v="0"/>
    <x v="1"/>
    <n v="5268"/>
    <n v="2265.2399999999998"/>
    <x v="2"/>
    <x v="9"/>
    <x v="18"/>
  </r>
  <r>
    <d v="2019-10-25T00:00:00"/>
    <x v="16"/>
    <x v="0"/>
    <x v="0"/>
    <x v="1"/>
    <n v="6689"/>
    <n v="1872.92"/>
    <x v="2"/>
    <x v="9"/>
    <x v="18"/>
  </r>
  <r>
    <d v="2019-10-25T00:00:00"/>
    <x v="17"/>
    <x v="0"/>
    <x v="0"/>
    <x v="1"/>
    <n v="8902"/>
    <n v="2314.52"/>
    <x v="2"/>
    <x v="9"/>
    <x v="18"/>
  </r>
  <r>
    <d v="2019-10-24T00:00:00"/>
    <x v="18"/>
    <x v="1"/>
    <x v="1"/>
    <x v="1"/>
    <n v="4397"/>
    <n v="1626.89"/>
    <x v="2"/>
    <x v="9"/>
    <x v="18"/>
  </r>
  <r>
    <d v="2019-10-30T00:00:00"/>
    <x v="19"/>
    <x v="2"/>
    <x v="1"/>
    <x v="0"/>
    <n v="9930"/>
    <n v="3574.8"/>
    <x v="2"/>
    <x v="9"/>
    <x v="17"/>
  </r>
  <r>
    <d v="2019-10-30T00:00:00"/>
    <x v="20"/>
    <x v="2"/>
    <x v="0"/>
    <x v="0"/>
    <n v="1145"/>
    <n v="251.9"/>
    <x v="2"/>
    <x v="9"/>
    <x v="17"/>
  </r>
  <r>
    <d v="2019-10-30T00:00:00"/>
    <x v="21"/>
    <x v="1"/>
    <x v="0"/>
    <x v="1"/>
    <n v="5820"/>
    <n v="1862.4"/>
    <x v="2"/>
    <x v="9"/>
    <x v="17"/>
  </r>
  <r>
    <d v="2019-11-30T00:00:00"/>
    <x v="0"/>
    <x v="1"/>
    <x v="1"/>
    <x v="1"/>
    <n v="6044"/>
    <n v="906.6"/>
    <x v="2"/>
    <x v="10"/>
    <x v="20"/>
  </r>
  <r>
    <d v="2019-11-30T00:00:00"/>
    <x v="1"/>
    <x v="1"/>
    <x v="1"/>
    <x v="0"/>
    <n v="11007"/>
    <n v="2751.75"/>
    <x v="2"/>
    <x v="10"/>
    <x v="20"/>
  </r>
  <r>
    <d v="2019-11-30T00:00:00"/>
    <x v="2"/>
    <x v="0"/>
    <x v="1"/>
    <x v="0"/>
    <n v="8249"/>
    <n v="3299.6"/>
    <x v="2"/>
    <x v="10"/>
    <x v="20"/>
  </r>
  <r>
    <d v="2019-11-30T00:00:00"/>
    <x v="3"/>
    <x v="1"/>
    <x v="1"/>
    <x v="1"/>
    <n v="9144"/>
    <n v="3291.84"/>
    <x v="2"/>
    <x v="10"/>
    <x v="20"/>
  </r>
  <r>
    <d v="2019-11-26T00:00:00"/>
    <x v="4"/>
    <x v="1"/>
    <x v="1"/>
    <x v="0"/>
    <n v="1411"/>
    <n v="366.86"/>
    <x v="2"/>
    <x v="10"/>
    <x v="20"/>
  </r>
  <r>
    <d v="2019-11-25T00:00:00"/>
    <x v="5"/>
    <x v="2"/>
    <x v="0"/>
    <x v="1"/>
    <n v="5296"/>
    <n v="1165.1199999999999"/>
    <x v="2"/>
    <x v="10"/>
    <x v="20"/>
  </r>
  <r>
    <d v="2019-11-25T00:00:00"/>
    <x v="6"/>
    <x v="1"/>
    <x v="1"/>
    <x v="1"/>
    <n v="10031"/>
    <n v="2206.8200000000002"/>
    <x v="2"/>
    <x v="10"/>
    <x v="20"/>
  </r>
  <r>
    <d v="2019-11-25T00:00:00"/>
    <x v="7"/>
    <x v="0"/>
    <x v="1"/>
    <x v="1"/>
    <n v="11082"/>
    <n v="4211.16"/>
    <x v="2"/>
    <x v="10"/>
    <x v="20"/>
  </r>
  <r>
    <d v="2019-11-25T00:00:00"/>
    <x v="8"/>
    <x v="0"/>
    <x v="0"/>
    <x v="1"/>
    <n v="7719"/>
    <n v="2624.46"/>
    <x v="2"/>
    <x v="10"/>
    <x v="20"/>
  </r>
  <r>
    <d v="2019-11-24T00:00:00"/>
    <x v="9"/>
    <x v="0"/>
    <x v="0"/>
    <x v="1"/>
    <n v="7723"/>
    <n v="2703.05"/>
    <x v="2"/>
    <x v="10"/>
    <x v="27"/>
  </r>
  <r>
    <d v="2019-11-24T00:00:00"/>
    <x v="10"/>
    <x v="2"/>
    <x v="1"/>
    <x v="0"/>
    <n v="11212"/>
    <n v="3924.2"/>
    <x v="2"/>
    <x v="10"/>
    <x v="27"/>
  </r>
  <r>
    <d v="2019-11-24T00:00:00"/>
    <x v="11"/>
    <x v="0"/>
    <x v="0"/>
    <x v="0"/>
    <n v="9329"/>
    <n v="2238.96"/>
    <x v="2"/>
    <x v="10"/>
    <x v="27"/>
  </r>
  <r>
    <d v="2019-11-24T00:00:00"/>
    <x v="12"/>
    <x v="0"/>
    <x v="0"/>
    <x v="1"/>
    <n v="11627"/>
    <n v="3488.1"/>
    <x v="2"/>
    <x v="10"/>
    <x v="27"/>
  </r>
  <r>
    <d v="2019-11-24T00:00:00"/>
    <x v="13"/>
    <x v="2"/>
    <x v="1"/>
    <x v="1"/>
    <n v="5416"/>
    <n v="2112.2399999999998"/>
    <x v="2"/>
    <x v="10"/>
    <x v="27"/>
  </r>
  <r>
    <d v="2019-12-31T00:00:00"/>
    <x v="0"/>
    <x v="0"/>
    <x v="0"/>
    <x v="0"/>
    <n v="9293"/>
    <n v="1765.67"/>
    <x v="2"/>
    <x v="11"/>
    <x v="21"/>
  </r>
  <r>
    <d v="2019-12-31T00:00:00"/>
    <x v="1"/>
    <x v="2"/>
    <x v="0"/>
    <x v="0"/>
    <n v="8696"/>
    <n v="3217.52"/>
    <x v="2"/>
    <x v="11"/>
    <x v="21"/>
  </r>
  <r>
    <d v="2019-12-30T00:00:00"/>
    <x v="2"/>
    <x v="2"/>
    <x v="0"/>
    <x v="1"/>
    <n v="9109"/>
    <n v="2641.61"/>
    <x v="2"/>
    <x v="11"/>
    <x v="21"/>
  </r>
  <r>
    <d v="2019-12-26T00:00:00"/>
    <x v="3"/>
    <x v="2"/>
    <x v="0"/>
    <x v="0"/>
    <n v="1855"/>
    <n v="816.2"/>
    <x v="2"/>
    <x v="11"/>
    <x v="22"/>
  </r>
  <r>
    <d v="2019-12-25T00:00:00"/>
    <x v="4"/>
    <x v="2"/>
    <x v="0"/>
    <x v="1"/>
    <n v="6901"/>
    <n v="2967.43"/>
    <x v="2"/>
    <x v="11"/>
    <x v="22"/>
  </r>
  <r>
    <d v="2019-12-25T00:00:00"/>
    <x v="5"/>
    <x v="1"/>
    <x v="1"/>
    <x v="1"/>
    <n v="10816"/>
    <n v="2163.1999999999998"/>
    <x v="2"/>
    <x v="11"/>
    <x v="22"/>
  </r>
  <r>
    <d v="2019-12-25T00:00:00"/>
    <x v="6"/>
    <x v="2"/>
    <x v="0"/>
    <x v="1"/>
    <n v="6317"/>
    <n v="1579.25"/>
    <x v="2"/>
    <x v="11"/>
    <x v="22"/>
  </r>
  <r>
    <d v="2019-12-25T00:00:00"/>
    <x v="7"/>
    <x v="0"/>
    <x v="0"/>
    <x v="1"/>
    <n v="2934"/>
    <n v="909.54"/>
    <x v="2"/>
    <x v="11"/>
    <x v="22"/>
  </r>
  <r>
    <d v="2019-12-24T00:00:00"/>
    <x v="8"/>
    <x v="1"/>
    <x v="0"/>
    <x v="1"/>
    <n v="1592"/>
    <n v="270.64"/>
    <x v="2"/>
    <x v="11"/>
    <x v="22"/>
  </r>
  <r>
    <d v="2019-12-30T00:00:00"/>
    <x v="9"/>
    <x v="2"/>
    <x v="1"/>
    <x v="0"/>
    <n v="5363"/>
    <n v="2413.35"/>
    <x v="2"/>
    <x v="11"/>
    <x v="21"/>
  </r>
  <r>
    <d v="2019-12-30T00:00:00"/>
    <x v="10"/>
    <x v="1"/>
    <x v="0"/>
    <x v="0"/>
    <n v="11622"/>
    <n v="3719.04"/>
    <x v="2"/>
    <x v="11"/>
    <x v="21"/>
  </r>
  <r>
    <d v="2019-12-30T00:00:00"/>
    <x v="11"/>
    <x v="1"/>
    <x v="1"/>
    <x v="1"/>
    <n v="11394"/>
    <n v="1936.98"/>
    <x v="2"/>
    <x v="11"/>
    <x v="21"/>
  </r>
  <r>
    <d v="2019-12-30T00:00:00"/>
    <x v="12"/>
    <x v="1"/>
    <x v="1"/>
    <x v="1"/>
    <n v="6126"/>
    <n v="1041.42"/>
    <x v="2"/>
    <x v="11"/>
    <x v="21"/>
  </r>
  <r>
    <d v="2019-12-30T00:00:00"/>
    <x v="13"/>
    <x v="0"/>
    <x v="0"/>
    <x v="0"/>
    <n v="4058"/>
    <n v="771.02"/>
    <x v="2"/>
    <x v="11"/>
    <x v="21"/>
  </r>
  <r>
    <d v="2019-12-30T00:00:00"/>
    <x v="14"/>
    <x v="2"/>
    <x v="1"/>
    <x v="0"/>
    <n v="6605"/>
    <n v="1321"/>
    <x v="2"/>
    <x v="11"/>
    <x v="21"/>
  </r>
  <r>
    <d v="2019-12-30T00:00:00"/>
    <x v="15"/>
    <x v="2"/>
    <x v="1"/>
    <x v="1"/>
    <n v="11096"/>
    <n v="3217.84"/>
    <x v="2"/>
    <x v="11"/>
    <x v="21"/>
  </r>
  <r>
    <d v="2019-12-26T00:00:00"/>
    <x v="16"/>
    <x v="2"/>
    <x v="0"/>
    <x v="0"/>
    <n v="7492"/>
    <n v="2772.04"/>
    <x v="2"/>
    <x v="11"/>
    <x v="22"/>
  </r>
  <r>
    <d v="2019-12-25T00:00:00"/>
    <x v="17"/>
    <x v="1"/>
    <x v="0"/>
    <x v="1"/>
    <n v="9415"/>
    <n v="3389.4"/>
    <x v="2"/>
    <x v="11"/>
    <x v="22"/>
  </r>
  <r>
    <d v="2019-12-25T00:00:00"/>
    <x v="18"/>
    <x v="2"/>
    <x v="1"/>
    <x v="1"/>
    <n v="11643"/>
    <n v="4657.2"/>
    <x v="2"/>
    <x v="11"/>
    <x v="22"/>
  </r>
  <r>
    <d v="2019-12-25T00:00:00"/>
    <x v="19"/>
    <x v="0"/>
    <x v="0"/>
    <x v="1"/>
    <n v="1068"/>
    <n v="480.6"/>
    <x v="2"/>
    <x v="11"/>
    <x v="22"/>
  </r>
  <r>
    <d v="2019-12-25T00:00:00"/>
    <x v="20"/>
    <x v="1"/>
    <x v="0"/>
    <x v="1"/>
    <n v="9700"/>
    <n v="3783"/>
    <x v="2"/>
    <x v="11"/>
    <x v="22"/>
  </r>
  <r>
    <d v="2019-12-25T00:00:00"/>
    <x v="21"/>
    <x v="0"/>
    <x v="0"/>
    <x v="1"/>
    <n v="7292"/>
    <n v="1312.56"/>
    <x v="2"/>
    <x v="11"/>
    <x v="22"/>
  </r>
  <r>
    <d v="2019-12-26T00:00:00"/>
    <x v="3"/>
    <x v="2"/>
    <x v="0"/>
    <x v="0"/>
    <n v="1855"/>
    <n v="816.2"/>
    <x v="2"/>
    <x v="11"/>
    <x v="22"/>
  </r>
  <r>
    <d v="2019-12-25T00:00:00"/>
    <x v="4"/>
    <x v="2"/>
    <x v="0"/>
    <x v="1"/>
    <n v="6901"/>
    <n v="2967.43"/>
    <x v="2"/>
    <x v="11"/>
    <x v="22"/>
  </r>
  <r>
    <d v="2019-12-25T00:00:00"/>
    <x v="5"/>
    <x v="1"/>
    <x v="1"/>
    <x v="1"/>
    <n v="10816"/>
    <n v="2163.1999999999998"/>
    <x v="2"/>
    <x v="11"/>
    <x v="22"/>
  </r>
  <r>
    <d v="2019-12-25T00:00:00"/>
    <x v="6"/>
    <x v="2"/>
    <x v="0"/>
    <x v="1"/>
    <n v="6317"/>
    <n v="1579.25"/>
    <x v="2"/>
    <x v="11"/>
    <x v="22"/>
  </r>
  <r>
    <d v="2019-12-25T00:00:00"/>
    <x v="7"/>
    <x v="0"/>
    <x v="0"/>
    <x v="1"/>
    <n v="2934"/>
    <n v="909.54"/>
    <x v="2"/>
    <x v="11"/>
    <x v="22"/>
  </r>
  <r>
    <d v="2019-12-24T00:00:00"/>
    <x v="8"/>
    <x v="1"/>
    <x v="0"/>
    <x v="1"/>
    <n v="1592"/>
    <n v="270.64"/>
    <x v="2"/>
    <x v="11"/>
    <x v="22"/>
  </r>
  <r>
    <d v="2019-12-30T00:00:00"/>
    <x v="9"/>
    <x v="2"/>
    <x v="1"/>
    <x v="0"/>
    <n v="5363"/>
    <n v="2413.35"/>
    <x v="2"/>
    <x v="11"/>
    <x v="21"/>
  </r>
  <r>
    <d v="2019-12-30T00:00:00"/>
    <x v="10"/>
    <x v="1"/>
    <x v="0"/>
    <x v="0"/>
    <n v="11622"/>
    <n v="3719.04"/>
    <x v="2"/>
    <x v="11"/>
    <x v="21"/>
  </r>
  <r>
    <d v="2019-12-30T00:00:00"/>
    <x v="11"/>
    <x v="1"/>
    <x v="1"/>
    <x v="1"/>
    <n v="11394"/>
    <n v="1936.98"/>
    <x v="2"/>
    <x v="11"/>
    <x v="21"/>
  </r>
  <r>
    <d v="2019-12-30T00:00:00"/>
    <x v="12"/>
    <x v="1"/>
    <x v="1"/>
    <x v="1"/>
    <n v="6126"/>
    <n v="1041.42"/>
    <x v="2"/>
    <x v="11"/>
    <x v="21"/>
  </r>
  <r>
    <d v="2019-12-30T00:00:00"/>
    <x v="13"/>
    <x v="0"/>
    <x v="0"/>
    <x v="0"/>
    <n v="4058"/>
    <n v="771.02"/>
    <x v="2"/>
    <x v="11"/>
    <x v="21"/>
  </r>
  <r>
    <d v="2019-12-30T00:00:00"/>
    <x v="14"/>
    <x v="2"/>
    <x v="1"/>
    <x v="0"/>
    <n v="6605"/>
    <n v="1321"/>
    <x v="2"/>
    <x v="11"/>
    <x v="21"/>
  </r>
  <r>
    <d v="2019-12-30T00:00:00"/>
    <x v="15"/>
    <x v="2"/>
    <x v="1"/>
    <x v="1"/>
    <n v="11096"/>
    <n v="3217.84"/>
    <x v="2"/>
    <x v="11"/>
    <x v="21"/>
  </r>
  <r>
    <d v="2019-12-26T00:00:00"/>
    <x v="16"/>
    <x v="2"/>
    <x v="0"/>
    <x v="0"/>
    <n v="7492"/>
    <n v="2772.04"/>
    <x v="2"/>
    <x v="11"/>
    <x v="22"/>
  </r>
  <r>
    <d v="2019-12-25T00:00:00"/>
    <x v="17"/>
    <x v="1"/>
    <x v="0"/>
    <x v="1"/>
    <n v="9415"/>
    <n v="3389.4"/>
    <x v="2"/>
    <x v="11"/>
    <x v="22"/>
  </r>
  <r>
    <d v="2019-12-25T00:00:00"/>
    <x v="18"/>
    <x v="2"/>
    <x v="1"/>
    <x v="1"/>
    <n v="11643"/>
    <n v="4657.2"/>
    <x v="2"/>
    <x v="11"/>
    <x v="22"/>
  </r>
  <r>
    <d v="2019-12-25T00:00:00"/>
    <x v="19"/>
    <x v="0"/>
    <x v="0"/>
    <x v="1"/>
    <n v="1068"/>
    <n v="480.6"/>
    <x v="2"/>
    <x v="11"/>
    <x v="22"/>
  </r>
  <r>
    <d v="2019-12-25T00:00:00"/>
    <x v="20"/>
    <x v="1"/>
    <x v="0"/>
    <x v="1"/>
    <n v="9700"/>
    <n v="3783"/>
    <x v="2"/>
    <x v="11"/>
    <x v="22"/>
  </r>
  <r>
    <d v="2019-12-25T00:00:00"/>
    <x v="21"/>
    <x v="0"/>
    <x v="0"/>
    <x v="1"/>
    <n v="7292"/>
    <n v="1312.56"/>
    <x v="2"/>
    <x v="11"/>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9F79B5-B645-4FE0-95D9-359FF7A1E88B}" name="TablaDinámica3"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M18:N24" firstHeaderRow="1" firstDataRow="1" firstDataCol="1"/>
  <pivotFields count="10">
    <pivotField numFmtId="14" showAll="0"/>
    <pivotField axis="axisRow" showAll="0" measureFilter="1">
      <items count="52">
        <item x="0"/>
        <item x="9"/>
        <item x="10"/>
        <item x="11"/>
        <item x="12"/>
        <item x="13"/>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
        <item x="6"/>
        <item x="7"/>
        <item x="8"/>
        <item t="default"/>
      </items>
    </pivotField>
    <pivotField showAll="0">
      <items count="4">
        <item x="0"/>
        <item x="2"/>
        <item x="1"/>
        <item t="default"/>
      </items>
    </pivotField>
    <pivotField showAll="0">
      <items count="3">
        <item x="1"/>
        <item x="0"/>
        <item t="default"/>
      </items>
    </pivotField>
    <pivotField showAll="0"/>
    <pivotField dataField="1" showAll="0"/>
    <pivotField showAll="0"/>
    <pivotField showAll="0">
      <items count="4">
        <item x="2"/>
        <item x="1"/>
        <item x="0"/>
        <item t="default"/>
      </items>
    </pivotField>
    <pivotField showAll="0">
      <items count="13">
        <item x="0"/>
        <item x="1"/>
        <item x="2"/>
        <item x="3"/>
        <item x="4"/>
        <item x="5"/>
        <item x="6"/>
        <item x="7"/>
        <item x="8"/>
        <item x="9"/>
        <item x="10"/>
        <item x="11"/>
        <item t="default"/>
      </items>
    </pivotField>
    <pivotField showAll="0">
      <items count="29">
        <item x="1"/>
        <item x="0"/>
        <item x="24"/>
        <item x="2"/>
        <item x="25"/>
        <item x="4"/>
        <item x="3"/>
        <item x="6"/>
        <item x="5"/>
        <item x="23"/>
        <item x="8"/>
        <item x="7"/>
        <item x="10"/>
        <item x="9"/>
        <item x="12"/>
        <item x="11"/>
        <item x="26"/>
        <item x="14"/>
        <item x="13"/>
        <item x="16"/>
        <item x="15"/>
        <item x="18"/>
        <item x="17"/>
        <item x="27"/>
        <item x="20"/>
        <item x="19"/>
        <item x="22"/>
        <item x="21"/>
        <item t="default"/>
      </items>
    </pivotField>
  </pivotFields>
  <rowFields count="1">
    <field x="1"/>
  </rowFields>
  <rowItems count="6">
    <i>
      <x v="2"/>
    </i>
    <i>
      <x v="3"/>
    </i>
    <i>
      <x v="4"/>
    </i>
    <i>
      <x v="11"/>
    </i>
    <i>
      <x v="49"/>
    </i>
    <i t="grand">
      <x/>
    </i>
  </rowItems>
  <colItems count="1">
    <i/>
  </colItems>
  <dataFields count="1">
    <dataField name="Suma de Ventas" fld="5" baseField="0" baseItem="0"/>
  </dataFields>
  <formats count="7">
    <format dxfId="136">
      <pivotArea outline="0" collapsedLevelsAreSubtotals="1" fieldPosition="0"/>
    </format>
    <format dxfId="135">
      <pivotArea type="all" dataOnly="0" outline="0" fieldPosition="0"/>
    </format>
    <format dxfId="134">
      <pivotArea outline="0" collapsedLevelsAreSubtotals="1" fieldPosition="0"/>
    </format>
    <format dxfId="133">
      <pivotArea field="1" type="button" dataOnly="0" labelOnly="1" outline="0" axis="axisRow" fieldPosition="0"/>
    </format>
    <format dxfId="132">
      <pivotArea dataOnly="0" labelOnly="1" fieldPosition="0">
        <references count="1">
          <reference field="1" count="5">
            <x v="2"/>
            <x v="3"/>
            <x v="4"/>
            <x v="11"/>
            <x v="49"/>
          </reference>
        </references>
      </pivotArea>
    </format>
    <format dxfId="131">
      <pivotArea dataOnly="0" labelOnly="1" grandRow="1" outline="0" fieldPosition="0"/>
    </format>
    <format dxfId="1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AD2C2F-B647-4DFD-B8EE-88AA99C842EB}"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
  <location ref="M12:O15" firstHeaderRow="0" firstDataRow="1" firstDataCol="1"/>
  <pivotFields count="10">
    <pivotField numFmtId="14" showAll="0"/>
    <pivotField showAll="0"/>
    <pivotField showAll="0">
      <items count="4">
        <item x="0"/>
        <item x="2"/>
        <item x="1"/>
        <item t="default"/>
      </items>
    </pivotField>
    <pivotField axis="axisRow" showAll="0">
      <items count="3">
        <item x="1"/>
        <item x="0"/>
        <item t="default"/>
      </items>
    </pivotField>
    <pivotField showAll="0"/>
    <pivotField dataField="1" showAll="0"/>
    <pivotField dataField="1" showAll="0"/>
    <pivotField showAll="0">
      <items count="4">
        <item x="2"/>
        <item x="1"/>
        <item x="0"/>
        <item t="default"/>
      </items>
    </pivotField>
    <pivotField showAll="0">
      <items count="13">
        <item x="0"/>
        <item x="1"/>
        <item x="2"/>
        <item x="3"/>
        <item x="4"/>
        <item x="5"/>
        <item x="6"/>
        <item x="7"/>
        <item x="8"/>
        <item x="9"/>
        <item x="10"/>
        <item x="11"/>
        <item t="default"/>
      </items>
    </pivotField>
    <pivotField showAll="0">
      <items count="29">
        <item x="1"/>
        <item x="0"/>
        <item x="24"/>
        <item x="2"/>
        <item x="25"/>
        <item x="4"/>
        <item x="3"/>
        <item x="6"/>
        <item x="5"/>
        <item x="23"/>
        <item x="8"/>
        <item x="7"/>
        <item x="10"/>
        <item x="9"/>
        <item x="12"/>
        <item x="11"/>
        <item x="26"/>
        <item x="14"/>
        <item x="13"/>
        <item x="16"/>
        <item x="15"/>
        <item x="18"/>
        <item x="17"/>
        <item x="27"/>
        <item x="20"/>
        <item x="19"/>
        <item x="22"/>
        <item x="21"/>
        <item t="default"/>
      </items>
    </pivotField>
  </pivotFields>
  <rowFields count="1">
    <field x="3"/>
  </rowFields>
  <rowItems count="3">
    <i>
      <x/>
    </i>
    <i>
      <x v="1"/>
    </i>
    <i t="grand">
      <x/>
    </i>
  </rowItems>
  <colFields count="1">
    <field x="-2"/>
  </colFields>
  <colItems count="2">
    <i>
      <x/>
    </i>
    <i i="1">
      <x v="1"/>
    </i>
  </colItems>
  <dataFields count="2">
    <dataField name="Suma de Ventas" fld="5" baseField="0" baseItem="0"/>
    <dataField name="Suma de Beneficio" fld="6" baseField="0" baseItem="0"/>
  </dataFields>
  <formats count="7">
    <format dxfId="143">
      <pivotArea outline="0" collapsedLevelsAreSubtotals="1" fieldPosition="0"/>
    </format>
    <format dxfId="142">
      <pivotArea type="all" dataOnly="0" outline="0" fieldPosition="0"/>
    </format>
    <format dxfId="141">
      <pivotArea outline="0" collapsedLevelsAreSubtotals="1" fieldPosition="0"/>
    </format>
    <format dxfId="140">
      <pivotArea field="3" type="button" dataOnly="0" labelOnly="1" outline="0" axis="axisRow" fieldPosition="0"/>
    </format>
    <format dxfId="139">
      <pivotArea dataOnly="0" labelOnly="1" fieldPosition="0">
        <references count="1">
          <reference field="3" count="0"/>
        </references>
      </pivotArea>
    </format>
    <format dxfId="138">
      <pivotArea dataOnly="0" labelOnly="1" grandRow="1" outline="0" fieldPosition="0"/>
    </format>
    <format dxfId="137">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8246B5-0940-4C4F-8CF0-B36223AC792C}"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4">
  <location ref="M5:O9" firstHeaderRow="0" firstDataRow="1" firstDataCol="1"/>
  <pivotFields count="10">
    <pivotField numFmtId="14" showAll="0"/>
    <pivotField showAll="0"/>
    <pivotField axis="axisRow" showAll="0">
      <items count="4">
        <item x="0"/>
        <item x="2"/>
        <item x="1"/>
        <item t="default"/>
      </items>
    </pivotField>
    <pivotField showAll="0"/>
    <pivotField showAll="0"/>
    <pivotField dataField="1" showAll="0"/>
    <pivotField dataField="1" showAll="0"/>
    <pivotField showAll="0">
      <items count="4">
        <item x="2"/>
        <item x="1"/>
        <item x="0"/>
        <item t="default"/>
      </items>
    </pivotField>
    <pivotField showAll="0">
      <items count="13">
        <item x="0"/>
        <item x="1"/>
        <item x="2"/>
        <item x="3"/>
        <item x="4"/>
        <item x="5"/>
        <item x="6"/>
        <item x="7"/>
        <item x="8"/>
        <item x="9"/>
        <item x="10"/>
        <item x="11"/>
        <item t="default"/>
      </items>
    </pivotField>
    <pivotField showAll="0">
      <items count="29">
        <item x="1"/>
        <item x="0"/>
        <item x="24"/>
        <item x="2"/>
        <item x="25"/>
        <item x="4"/>
        <item x="3"/>
        <item x="6"/>
        <item x="5"/>
        <item x="23"/>
        <item x="8"/>
        <item x="7"/>
        <item x="10"/>
        <item x="9"/>
        <item x="12"/>
        <item x="11"/>
        <item x="26"/>
        <item x="14"/>
        <item x="13"/>
        <item x="16"/>
        <item x="15"/>
        <item x="18"/>
        <item x="17"/>
        <item x="27"/>
        <item x="20"/>
        <item x="19"/>
        <item x="22"/>
        <item x="21"/>
        <item t="default"/>
      </items>
    </pivotField>
  </pivotFields>
  <rowFields count="1">
    <field x="2"/>
  </rowFields>
  <rowItems count="4">
    <i>
      <x/>
    </i>
    <i>
      <x v="1"/>
    </i>
    <i>
      <x v="2"/>
    </i>
    <i t="grand">
      <x/>
    </i>
  </rowItems>
  <colFields count="1">
    <field x="-2"/>
  </colFields>
  <colItems count="2">
    <i>
      <x/>
    </i>
    <i i="1">
      <x v="1"/>
    </i>
  </colItems>
  <dataFields count="2">
    <dataField name="Suma de Ventas" fld="5" baseField="0" baseItem="0"/>
    <dataField name="Suma de Beneficio" fld="6" baseField="0" baseItem="0"/>
  </dataFields>
  <formats count="7">
    <format dxfId="150">
      <pivotArea outline="0" collapsedLevelsAreSubtotals="1" fieldPosition="0"/>
    </format>
    <format dxfId="149">
      <pivotArea type="all" dataOnly="0" outline="0" fieldPosition="0"/>
    </format>
    <format dxfId="148">
      <pivotArea outline="0" collapsedLevelsAreSubtotals="1" fieldPosition="0"/>
    </format>
    <format dxfId="147">
      <pivotArea field="2" type="button" dataOnly="0" labelOnly="1" outline="0" axis="axisRow" fieldPosition="0"/>
    </format>
    <format dxfId="146">
      <pivotArea dataOnly="0" labelOnly="1" fieldPosition="0">
        <references count="1">
          <reference field="2" count="0"/>
        </references>
      </pivotArea>
    </format>
    <format dxfId="145">
      <pivotArea dataOnly="0" labelOnly="1" grandRow="1" outline="0" fieldPosition="0"/>
    </format>
    <format dxfId="144">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F582F3-6A54-4C2E-B3C4-06C77F04B863}" name="TablaDinámica5"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location ref="M36:N42" firstHeaderRow="1" firstDataRow="1" firstDataCol="1" rowPageCount="1" colPageCount="1"/>
  <pivotFields count="10">
    <pivotField numFmtId="14" showAll="0"/>
    <pivotField axis="axisRow" showAll="0" measureFilter="1">
      <items count="52">
        <item x="0"/>
        <item x="9"/>
        <item x="10"/>
        <item x="11"/>
        <item x="12"/>
        <item x="13"/>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
        <item x="6"/>
        <item x="7"/>
        <item x="8"/>
        <item t="default"/>
      </items>
    </pivotField>
    <pivotField showAll="0">
      <items count="4">
        <item x="0"/>
        <item x="2"/>
        <item x="1"/>
        <item t="default"/>
      </items>
    </pivotField>
    <pivotField showAll="0">
      <items count="3">
        <item x="1"/>
        <item x="0"/>
        <item t="default"/>
      </items>
    </pivotField>
    <pivotField axis="axisPage" showAll="0">
      <items count="3">
        <item x="0"/>
        <item x="1"/>
        <item t="default"/>
      </items>
    </pivotField>
    <pivotField dataField="1" showAll="0"/>
    <pivotField showAll="0"/>
    <pivotField showAll="0">
      <items count="4">
        <item x="2"/>
        <item x="1"/>
        <item x="0"/>
        <item t="default"/>
      </items>
    </pivotField>
    <pivotField showAll="0">
      <items count="13">
        <item x="0"/>
        <item x="1"/>
        <item x="2"/>
        <item x="3"/>
        <item x="4"/>
        <item x="5"/>
        <item x="6"/>
        <item x="7"/>
        <item x="8"/>
        <item x="9"/>
        <item x="10"/>
        <item x="11"/>
        <item t="default"/>
      </items>
    </pivotField>
    <pivotField showAll="0">
      <items count="29">
        <item x="1"/>
        <item x="0"/>
        <item x="24"/>
        <item x="2"/>
        <item x="25"/>
        <item x="4"/>
        <item x="3"/>
        <item x="6"/>
        <item x="5"/>
        <item x="23"/>
        <item x="8"/>
        <item x="7"/>
        <item x="10"/>
        <item x="9"/>
        <item x="12"/>
        <item x="11"/>
        <item x="26"/>
        <item x="14"/>
        <item x="13"/>
        <item x="16"/>
        <item x="15"/>
        <item x="18"/>
        <item x="17"/>
        <item x="27"/>
        <item x="20"/>
        <item x="19"/>
        <item x="22"/>
        <item x="21"/>
        <item t="default"/>
      </items>
    </pivotField>
  </pivotFields>
  <rowFields count="1">
    <field x="1"/>
  </rowFields>
  <rowItems count="6">
    <i>
      <x v="1"/>
    </i>
    <i>
      <x v="4"/>
    </i>
    <i>
      <x v="33"/>
    </i>
    <i>
      <x v="48"/>
    </i>
    <i>
      <x v="50"/>
    </i>
    <i t="grand">
      <x/>
    </i>
  </rowItems>
  <colItems count="1">
    <i/>
  </colItems>
  <pageFields count="1">
    <pageField fld="4" item="1" hier="-1"/>
  </pageFields>
  <dataFields count="1">
    <dataField name="Suma de Ventas" fld="5" baseField="0" baseItem="0"/>
  </dataFields>
  <formats count="7">
    <format dxfId="157">
      <pivotArea outline="0" collapsedLevelsAreSubtotals="1" fieldPosition="0"/>
    </format>
    <format dxfId="156">
      <pivotArea type="all" dataOnly="0" outline="0" fieldPosition="0"/>
    </format>
    <format dxfId="155">
      <pivotArea outline="0" collapsedLevelsAreSubtotals="1" fieldPosition="0"/>
    </format>
    <format dxfId="154">
      <pivotArea field="1" type="button" dataOnly="0" labelOnly="1" outline="0" axis="axisRow" fieldPosition="0"/>
    </format>
    <format dxfId="153">
      <pivotArea dataOnly="0" labelOnly="1" fieldPosition="0">
        <references count="1">
          <reference field="1" count="5">
            <x v="1"/>
            <x v="4"/>
            <x v="33"/>
            <x v="48"/>
            <x v="50"/>
          </reference>
        </references>
      </pivotArea>
    </format>
    <format dxfId="152">
      <pivotArea dataOnly="0" labelOnly="1" grandRow="1" outline="0" fieldPosition="0"/>
    </format>
    <format dxfId="15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6740AD-7C7F-4679-827F-43CA358D64CC}" name="TablaDinámica4"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
  <location ref="M27:N30" firstHeaderRow="1" firstDataRow="1" firstDataCol="1"/>
  <pivotFields count="10">
    <pivotField numFmtId="14" showAll="0"/>
    <pivotField showAll="0"/>
    <pivotField showAll="0">
      <items count="4">
        <item x="0"/>
        <item x="2"/>
        <item x="1"/>
        <item t="default"/>
      </items>
    </pivotField>
    <pivotField showAll="0">
      <items count="3">
        <item x="1"/>
        <item x="0"/>
        <item t="default"/>
      </items>
    </pivotField>
    <pivotField axis="axisRow" showAll="0">
      <items count="3">
        <item x="0"/>
        <item x="1"/>
        <item t="default"/>
      </items>
    </pivotField>
    <pivotField dataField="1" showAll="0"/>
    <pivotField showAll="0"/>
    <pivotField showAll="0">
      <items count="4">
        <item x="2"/>
        <item x="1"/>
        <item x="0"/>
        <item t="default"/>
      </items>
    </pivotField>
    <pivotField showAll="0">
      <items count="13">
        <item x="0"/>
        <item x="1"/>
        <item x="2"/>
        <item x="3"/>
        <item x="4"/>
        <item x="5"/>
        <item x="6"/>
        <item x="7"/>
        <item x="8"/>
        <item x="9"/>
        <item x="10"/>
        <item x="11"/>
        <item t="default"/>
      </items>
    </pivotField>
    <pivotField showAll="0">
      <items count="29">
        <item x="1"/>
        <item x="0"/>
        <item x="24"/>
        <item x="2"/>
        <item x="25"/>
        <item x="4"/>
        <item x="3"/>
        <item x="6"/>
        <item x="5"/>
        <item x="23"/>
        <item x="8"/>
        <item x="7"/>
        <item x="10"/>
        <item x="9"/>
        <item x="12"/>
        <item x="11"/>
        <item x="26"/>
        <item x="14"/>
        <item x="13"/>
        <item x="16"/>
        <item x="15"/>
        <item x="18"/>
        <item x="17"/>
        <item x="27"/>
        <item x="20"/>
        <item x="19"/>
        <item x="22"/>
        <item x="21"/>
        <item t="default"/>
      </items>
    </pivotField>
  </pivotFields>
  <rowFields count="1">
    <field x="4"/>
  </rowFields>
  <rowItems count="3">
    <i>
      <x/>
    </i>
    <i>
      <x v="1"/>
    </i>
    <i t="grand">
      <x/>
    </i>
  </rowItems>
  <colItems count="1">
    <i/>
  </colItems>
  <dataFields count="1">
    <dataField name="Suma de Ventas" fld="5" baseField="0" baseItem="0"/>
  </dataFields>
  <formats count="7">
    <format dxfId="164">
      <pivotArea outline="0" collapsedLevelsAreSubtotals="1" fieldPosition="0"/>
    </format>
    <format dxfId="163">
      <pivotArea type="all" dataOnly="0" outline="0" fieldPosition="0"/>
    </format>
    <format dxfId="162">
      <pivotArea outline="0" collapsedLevelsAreSubtotals="1" fieldPosition="0"/>
    </format>
    <format dxfId="161">
      <pivotArea field="4" type="button" dataOnly="0" labelOnly="1" outline="0" axis="axisRow" fieldPosition="0"/>
    </format>
    <format dxfId="160">
      <pivotArea dataOnly="0" labelOnly="1" fieldPosition="0">
        <references count="1">
          <reference field="4" count="0"/>
        </references>
      </pivotArea>
    </format>
    <format dxfId="159">
      <pivotArea dataOnly="0" labelOnly="1" grandRow="1" outline="0" fieldPosition="0"/>
    </format>
    <format dxfId="158">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1" xr10:uid="{64DAC85F-4245-45B4-9154-95858AC39157}" sourceName="Año">
  <pivotTables>
    <pivotTable tabId="36" name="TablaDinámica1"/>
    <pivotTable tabId="36" name="TablaDinámica2"/>
    <pivotTable tabId="36" name="TablaDinámica3"/>
    <pivotTable tabId="36" name="TablaDinámica4"/>
    <pivotTable tabId="36" name="TablaDinámica5"/>
  </pivotTables>
  <data>
    <tabular pivotCacheId="615599801">
      <items count="3">
        <i x="2" s="1"/>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1" xr10:uid="{587B9299-01B8-41CF-9FEC-8F11C840E16D}" sourceName="Mes">
  <pivotTables>
    <pivotTable tabId="36" name="TablaDinámica1"/>
    <pivotTable tabId="36" name="TablaDinámica2"/>
    <pivotTable tabId="36" name="TablaDinámica3"/>
    <pivotTable tabId="36" name="TablaDinámica4"/>
    <pivotTable tabId="36" name="TablaDinámica5"/>
  </pivotTables>
  <data>
    <tabular pivotCacheId="615599801">
      <items count="12">
        <i x="0" s="1"/>
        <i x="1" s="1"/>
        <i x="2" s="1"/>
        <i x="3" s="1"/>
        <i x="4" s="1"/>
        <i x="5" s="1"/>
        <i x="6" s="1"/>
        <i x="7" s="1"/>
        <i x="9" s="1"/>
        <i x="10" s="1"/>
        <i x="11" s="1"/>
        <i x="8"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ro._Semana" xr10:uid="{4874446D-F275-41C7-8978-9824DA75C033}" sourceName="Nro. Semana">
  <pivotTables>
    <pivotTable tabId="36" name="TablaDinámica1"/>
    <pivotTable tabId="36" name="TablaDinámica2"/>
    <pivotTable tabId="36" name="TablaDinámica3"/>
    <pivotTable tabId="36" name="TablaDinámica4"/>
    <pivotTable tabId="36" name="TablaDinámica5"/>
  </pivotTables>
  <data>
    <tabular pivotCacheId="615599801">
      <items count="28">
        <i x="1" s="1"/>
        <i x="0" s="1"/>
        <i x="24" s="1"/>
        <i x="2" s="1"/>
        <i x="25" s="1"/>
        <i x="4" s="1"/>
        <i x="3" s="1"/>
        <i x="6" s="1"/>
        <i x="5" s="1"/>
        <i x="23" s="1"/>
        <i x="8" s="1"/>
        <i x="7" s="1"/>
        <i x="10" s="1"/>
        <i x="9" s="1"/>
        <i x="12" s="1"/>
        <i x="11" s="1"/>
        <i x="26" s="1"/>
        <i x="14" s="1"/>
        <i x="13" s="1"/>
        <i x="16" s="1"/>
        <i x="15" s="1"/>
        <i x="18" s="1"/>
        <i x="17" s="1"/>
        <i x="27" s="1"/>
        <i x="20" s="1"/>
        <i x="19" s="1"/>
        <i x="22" s="1"/>
        <i x="2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1" xr10:uid="{F541A70F-F216-4097-86C0-E90DC05AF22D}" cache="SegmentaciónDeDatos_Año1" caption="Año" columnCount="2" style="SlicerStyleDark4" rowHeight="241300"/>
  <slicer name="Mes 1" xr10:uid="{BDD961F3-B5B2-48E3-8DBE-39735F3BE138}" cache="SegmentaciónDeDatos_Mes1" caption="Mes" columnCount="4" style="SlicerStyleDark4" rowHeight="241300"/>
  <slicer name="Nro. Semana" xr10:uid="{A002B690-5C6D-4ED9-A164-C137F3F9CCFB}" cache="SegmentaciónDeDatos_Nro._Semana" caption="Nro. Semana" columnCount="10"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5E46B1-D93B-4D4B-85F0-BDF6CBC67AE2}" name="tbl_dashboard_ejm" displayName="tbl_dashboard_ejm" ref="B4:K881" totalsRowShown="0">
  <autoFilter ref="B4:K881" xr:uid="{3C5E46B1-D93B-4D4B-85F0-BDF6CBC67AE2}"/>
  <tableColumns count="10">
    <tableColumn id="1" xr3:uid="{84282406-BA7F-4404-AD65-DB56365BA0A0}" name="Fecha"/>
    <tableColumn id="2" xr3:uid="{C4D6278C-831C-4C82-8570-FB813A8D79A4}" name="Cliente"/>
    <tableColumn id="3" xr3:uid="{5BBADCD1-5A15-4972-A59D-66B7EF28437D}" name="Linea de negocio"/>
    <tableColumn id="4" xr3:uid="{65076073-3BC7-4680-A4F1-EDE1E49D8BE3}" name="Tipo Cliente"/>
    <tableColumn id="5" xr3:uid="{A57F9040-155C-4838-A1AF-933A7DD328E2}" name="Estado"/>
    <tableColumn id="6" xr3:uid="{C65F1667-6611-4155-BD5F-96384B0B7EA1}" name="Ventas" dataDxfId="117"/>
    <tableColumn id="7" xr3:uid="{B5F117AD-EB03-48B6-9C63-EE67CC037253}" name="Beneficio" dataDxfId="116"/>
    <tableColumn id="8" xr3:uid="{AD81171E-8BCE-446B-B3F3-5FCB9F4CC242}" name="AÑO" dataDxfId="5">
      <calculatedColumnFormula>YEAR(tbl_dashboard_ejm[[#This Row],[Fecha]])</calculatedColumnFormula>
    </tableColumn>
    <tableColumn id="9" xr3:uid="{D3C963DC-C872-4B84-8E82-55B7056129AC}" name="MES" dataDxfId="4">
      <calculatedColumnFormula>TEXT(tbl_dashboard_ejm[[#This Row],[Fecha]],"MMMM")</calculatedColumnFormula>
    </tableColumn>
    <tableColumn id="10" xr3:uid="{C7ACCFD0-0683-4EDA-8172-64E109F361A6}" name="NRO. SEMANA" dataDxfId="3">
      <calculatedColumnFormula>WEEKNUM(tbl_dashboard_ejm[[#This Row],[Fecha]],2)</calculatedColumnFormula>
    </tableColumn>
  </tableColumns>
  <tableStyleInfo name="TableStyleLight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949073-0D4D-4EB4-ABB3-3B7974D68DD9}" name="tbl_dashboard" displayName="tbl_dashboard" ref="B4:K881" totalsRowShown="0" headerRowDxfId="129" dataDxfId="128">
  <autoFilter ref="B4:K881" xr:uid="{97949073-0D4D-4EB4-ABB3-3B7974D68DD9}"/>
  <tableColumns count="10">
    <tableColumn id="1" xr3:uid="{BE07ED73-F3DD-439B-AE12-09B5E61FB9E9}" name="Fecha" dataDxfId="127"/>
    <tableColumn id="2" xr3:uid="{30D1B6B4-CAB8-4421-A9C9-A520C91EEE8B}" name="Cliente" dataDxfId="126"/>
    <tableColumn id="3" xr3:uid="{48BA7DD0-D861-40E4-9E06-B5D6382CDBF1}" name="Linea de negocio" dataDxfId="125"/>
    <tableColumn id="4" xr3:uid="{F9C435B9-65B0-4E95-830A-9D48D080F5FA}" name="Tipo Cliente" dataDxfId="124"/>
    <tableColumn id="5" xr3:uid="{6F02A6C0-7CB4-4AC8-BB1D-C5424221B29C}" name="Estado" dataDxfId="123"/>
    <tableColumn id="6" xr3:uid="{0937C512-DF4F-4D09-BC24-9C6316849C2D}" name="Ventas" dataDxfId="122"/>
    <tableColumn id="7" xr3:uid="{AF9F07E2-7EC3-4D43-A178-0862135B0967}" name="Beneficio" dataDxfId="121"/>
    <tableColumn id="8" xr3:uid="{D5C5E894-8323-4D8C-8506-88C2DCFF4B19}" name="Año" dataDxfId="120">
      <calculatedColumnFormula>YEAR(tbl_dashboard[[#This Row],[Fecha]])</calculatedColumnFormula>
    </tableColumn>
    <tableColumn id="9" xr3:uid="{BCE0BEF7-06F7-4086-B321-0550DEF1CB25}" name="Mes" dataDxfId="119">
      <calculatedColumnFormula>TEXT(tbl_dashboard[[#This Row],[Fecha]],"mmmm")</calculatedColumnFormula>
    </tableColumn>
    <tableColumn id="10" xr3:uid="{C70115FE-B27F-4D33-AB2A-DF85CF6DF2EF}" name="Nro. Semana" dataDxfId="118">
      <calculatedColumnFormula>WEEKNUM(tbl_dashboard[[#This Row],[Fecha]],2)</calculatedColumnFormula>
    </tableColumn>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2DA320-8042-4ABE-B835-9CE31BB15837}" name="tbl_ejm_fechas" displayName="tbl_ejm_fechas" ref="C11:G27" totalsRowShown="0" headerRowDxfId="115" dataDxfId="114">
  <tableColumns count="5">
    <tableColumn id="1" xr3:uid="{788A3468-FB13-4285-B03C-A3BE54B18362}" name="FECHA" dataDxfId="113"/>
    <tableColumn id="2" xr3:uid="{46DA6B64-C718-4160-B878-FF5BC127CC84}" name="HOY" dataDxfId="112">
      <calculatedColumnFormula>TODAY()</calculatedColumnFormula>
    </tableColumn>
    <tableColumn id="3" xr3:uid="{63A5C4A9-609E-466E-8911-D2A4A896726C}" name="AÑOS" dataDxfId="2">
      <calculatedColumnFormula>DATEDIF(tbl_ejm_fechas[[#This Row],[FECHA]],tbl_ejm_fechas[[#This Row],[HOY]],"Y")</calculatedColumnFormula>
    </tableColumn>
    <tableColumn id="4" xr3:uid="{6FA82E53-F0AD-4A52-BD2B-C133F6832EC0}" name="MESES" dataDxfId="1">
      <calculatedColumnFormula>DATEDIF(tbl_ejm_fechas[[#This Row],[FECHA]],tbl_ejm_fechas[[#This Row],[HOY]],"M")</calculatedColumnFormula>
    </tableColumn>
    <tableColumn id="5" xr3:uid="{BB5F2AD1-D696-4C63-8554-CF6AE08BE567}" name="DIAS" dataDxfId="0">
      <calculatedColumnFormula>DATEDIF(tbl_ejm_fechas[[#This Row],[FECHA]],tbl_ejm_fechas[[#This Row],[HOY]],"D")</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34FC0DF-B7AA-4187-8B11-2109A6C2BF06}">
  <we:reference id="wa200005502" version="1.0.0.11" store="es-ES" storeType="OMEX"/>
  <we:alternateReferences>
    <we:reference id="wa200005502" version="1.0.0.11" store="WA200005502" storeType="OMEX"/>
  </we:alternateReferences>
  <we:properties>
    <we:property name="docId" value="&quot;EyOiCSP6NfFKkhyTPz00w&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sexcelforbusiness@gmail.com" TargetMode="External"/><Relationship Id="rId1" Type="http://schemas.openxmlformats.org/officeDocument/2006/relationships/hyperlink" Target="https://www.youtube.com/@aprendiendoconleandro"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hyperlink" Target="https://docs.google.com/spreadsheets/d/e/2PACX-1vQOcO7w6D7stwb3bTPT9QDCTmFqs_B8krt2tishyB0Y-_lcGxpi83nS_i9vrrP8NC2odAbbB4h1j8S1/pub?output=xlsx" TargetMode="Externa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8" Type="http://schemas.openxmlformats.org/officeDocument/2006/relationships/hyperlink" Target="https://www.youtube.com/@METN" TargetMode="External"/><Relationship Id="rId3" Type="http://schemas.openxmlformats.org/officeDocument/2006/relationships/hyperlink" Target="https://www.youtube.com/@SergioAlejandroCampos" TargetMode="External"/><Relationship Id="rId7" Type="http://schemas.openxmlformats.org/officeDocument/2006/relationships/hyperlink" Target="https://www.youtube.com/@aprendiendoconleandro" TargetMode="External"/><Relationship Id="rId2" Type="http://schemas.openxmlformats.org/officeDocument/2006/relationships/hyperlink" Target="https://www.youtube.com/@elingefrancisco" TargetMode="External"/><Relationship Id="rId1" Type="http://schemas.openxmlformats.org/officeDocument/2006/relationships/hyperlink" Target="https://www.youtube.com/@SMARTproAcademy" TargetMode="External"/><Relationship Id="rId6" Type="http://schemas.openxmlformats.org/officeDocument/2006/relationships/hyperlink" Target="https://www.youtube.com/@excelymasoficial" TargetMode="External"/><Relationship Id="rId5" Type="http://schemas.openxmlformats.org/officeDocument/2006/relationships/hyperlink" Target="https://www.youtube.com/@ElTioTech" TargetMode="External"/><Relationship Id="rId4" Type="http://schemas.openxmlformats.org/officeDocument/2006/relationships/hyperlink" Target="https://www.youtube.com/@ExcelHechoFacil" TargetMode="External"/><Relationship Id="rId9"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706E4-94D7-47FC-94AC-4BC81356F985}">
  <sheetPr codeName="Hoja11"/>
  <dimension ref="A1"/>
  <sheetViews>
    <sheetView showGridLines="0" showRowColHeaders="0" workbookViewId="0">
      <selection activeCell="C24" sqref="C24"/>
    </sheetView>
  </sheetViews>
  <sheetFormatPr baseColWidth="10" defaultRowHeight="14.4" x14ac:dyDescent="0.3"/>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06503-C00C-48A4-B912-52A7E9F867A0}">
  <sheetPr codeName="Hoja2"/>
  <dimension ref="A5:L25"/>
  <sheetViews>
    <sheetView showGridLines="0" showRowColHeaders="0" workbookViewId="0">
      <selection activeCell="F20" sqref="F20"/>
    </sheetView>
  </sheetViews>
  <sheetFormatPr baseColWidth="10" defaultRowHeight="14.4" x14ac:dyDescent="0.3"/>
  <cols>
    <col min="1" max="1" width="15" customWidth="1"/>
    <col min="2" max="2" width="12" bestFit="1" customWidth="1"/>
  </cols>
  <sheetData>
    <row r="5" spans="1:12" x14ac:dyDescent="0.3">
      <c r="L5" s="1"/>
    </row>
    <row r="6" spans="1:12" x14ac:dyDescent="0.3">
      <c r="L6" s="1"/>
    </row>
    <row r="7" spans="1:12" x14ac:dyDescent="0.3">
      <c r="L7" s="1"/>
    </row>
    <row r="8" spans="1:12" x14ac:dyDescent="0.3">
      <c r="L8" s="1"/>
    </row>
    <row r="14" spans="1:12" ht="18" x14ac:dyDescent="0.35">
      <c r="A14" s="5" t="s">
        <v>4</v>
      </c>
      <c r="B14" s="3" t="s">
        <v>0</v>
      </c>
    </row>
    <row r="15" spans="1:12" ht="18" x14ac:dyDescent="0.35">
      <c r="A15" s="5" t="s">
        <v>3</v>
      </c>
      <c r="B15" s="3" t="s">
        <v>398</v>
      </c>
    </row>
    <row r="16" spans="1:12" ht="18" x14ac:dyDescent="0.35">
      <c r="A16" s="5" t="s">
        <v>2</v>
      </c>
      <c r="B16" s="4" t="s">
        <v>1</v>
      </c>
    </row>
    <row r="18" spans="2:3" x14ac:dyDescent="0.3">
      <c r="B18" s="2" t="s">
        <v>11</v>
      </c>
    </row>
    <row r="19" spans="2:3" x14ac:dyDescent="0.3">
      <c r="C19" s="1" t="s">
        <v>12</v>
      </c>
    </row>
    <row r="20" spans="2:3" x14ac:dyDescent="0.3">
      <c r="C20" s="1" t="s">
        <v>431</v>
      </c>
    </row>
    <row r="21" spans="2:3" x14ac:dyDescent="0.3">
      <c r="C21" s="1" t="s">
        <v>432</v>
      </c>
    </row>
    <row r="22" spans="2:3" x14ac:dyDescent="0.3">
      <c r="C22" s="1" t="s">
        <v>429</v>
      </c>
    </row>
    <row r="23" spans="2:3" x14ac:dyDescent="0.3">
      <c r="C23" s="1" t="s">
        <v>463</v>
      </c>
    </row>
    <row r="24" spans="2:3" x14ac:dyDescent="0.3">
      <c r="C24" s="1" t="s">
        <v>430</v>
      </c>
    </row>
    <row r="25" spans="2:3" x14ac:dyDescent="0.3">
      <c r="C25" s="1" t="s">
        <v>464</v>
      </c>
    </row>
  </sheetData>
  <hyperlinks>
    <hyperlink ref="B15" r:id="rId1" xr:uid="{EDAB960A-05DD-4B0C-9220-5427BDD09B46}"/>
    <hyperlink ref="B16" r:id="rId2" xr:uid="{1C6B1C2E-9351-46FB-A310-7523733045DD}"/>
  </hyperlink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F995A-F1A0-45AF-8366-8AB5BE511B17}">
  <sheetPr codeName="Hoja3"/>
  <dimension ref="B2:S123"/>
  <sheetViews>
    <sheetView showGridLines="0" topLeftCell="E51" zoomScale="90" zoomScaleNormal="90" workbookViewId="0">
      <selection activeCell="G59" sqref="G59"/>
    </sheetView>
  </sheetViews>
  <sheetFormatPr baseColWidth="10" defaultColWidth="11.44140625" defaultRowHeight="10.199999999999999" x14ac:dyDescent="0.2"/>
  <cols>
    <col min="1" max="1" width="3.6640625" style="8" customWidth="1"/>
    <col min="2" max="2" width="13" style="8" customWidth="1"/>
    <col min="3" max="3" width="14.5546875" style="8" customWidth="1"/>
    <col min="4" max="4" width="11.88671875" style="8" customWidth="1"/>
    <col min="5" max="5" width="11.33203125" style="8" customWidth="1"/>
    <col min="6" max="6" width="11.5546875" style="8" customWidth="1"/>
    <col min="7" max="7" width="19" style="8" customWidth="1"/>
    <col min="8" max="8" width="12.109375" style="8" customWidth="1"/>
    <col min="9" max="9" width="16.6640625" style="8" bestFit="1" customWidth="1"/>
    <col min="10" max="10" width="17.5546875" style="8" bestFit="1" customWidth="1"/>
    <col min="11" max="11" width="11.88671875" style="8" bestFit="1" customWidth="1"/>
    <col min="12" max="12" width="17.5546875" style="8" bestFit="1" customWidth="1"/>
    <col min="13" max="13" width="16.109375" style="8" bestFit="1" customWidth="1"/>
    <col min="14" max="14" width="14" style="8" bestFit="1" customWidth="1"/>
    <col min="15" max="15" width="17.5546875" style="8" bestFit="1" customWidth="1"/>
    <col min="16" max="16" width="16.109375" style="8" bestFit="1" customWidth="1"/>
    <col min="17" max="17" width="17.5546875" style="8" bestFit="1" customWidth="1"/>
    <col min="18" max="18" width="16.5546875" style="8" bestFit="1" customWidth="1"/>
    <col min="19" max="16384" width="11.44140625" style="8"/>
  </cols>
  <sheetData>
    <row r="2" spans="2:16" ht="18" x14ac:dyDescent="0.2">
      <c r="B2" s="26" t="s">
        <v>514</v>
      </c>
      <c r="C2" s="26"/>
      <c r="D2" s="26"/>
      <c r="E2" s="26"/>
      <c r="F2" s="27"/>
      <c r="G2" s="27"/>
      <c r="H2" s="27"/>
      <c r="I2" s="27"/>
    </row>
    <row r="3" spans="2:16" ht="11.25" customHeight="1" x14ac:dyDescent="0.2">
      <c r="B3" s="24"/>
      <c r="C3" s="24"/>
      <c r="D3" s="24"/>
      <c r="E3" s="24"/>
    </row>
    <row r="4" spans="2:16" x14ac:dyDescent="0.2">
      <c r="B4" s="9" t="s">
        <v>13</v>
      </c>
      <c r="C4" s="10"/>
      <c r="D4" s="10"/>
      <c r="E4" s="10"/>
    </row>
    <row r="5" spans="2:16" x14ac:dyDescent="0.2">
      <c r="B5" s="11" t="s">
        <v>515</v>
      </c>
      <c r="C5" s="10"/>
      <c r="D5" s="10"/>
      <c r="E5" s="10"/>
    </row>
    <row r="6" spans="2:16" x14ac:dyDescent="0.2">
      <c r="B6" s="11" t="s">
        <v>396</v>
      </c>
      <c r="C6" s="10"/>
      <c r="D6" s="10"/>
      <c r="E6" s="10"/>
    </row>
    <row r="7" spans="2:16" x14ac:dyDescent="0.2">
      <c r="B7" s="11" t="s">
        <v>14</v>
      </c>
      <c r="C7" s="10"/>
      <c r="D7" s="10"/>
      <c r="E7" s="10"/>
    </row>
    <row r="8" spans="2:16" x14ac:dyDescent="0.2">
      <c r="B8" s="12"/>
      <c r="C8" s="12"/>
    </row>
    <row r="9" spans="2:16" x14ac:dyDescent="0.2">
      <c r="B9" s="13" t="s">
        <v>15</v>
      </c>
      <c r="C9" s="12"/>
    </row>
    <row r="10" spans="2:16" x14ac:dyDescent="0.2">
      <c r="B10" s="13" t="s">
        <v>523</v>
      </c>
      <c r="C10" s="12"/>
    </row>
    <row r="11" spans="2:16" ht="14.4" x14ac:dyDescent="0.3">
      <c r="B11" s="8" t="s">
        <v>524</v>
      </c>
      <c r="I11"/>
      <c r="J11"/>
      <c r="K11"/>
      <c r="L11"/>
    </row>
    <row r="12" spans="2:16" ht="14.4" x14ac:dyDescent="0.3">
      <c r="B12" s="14" t="s">
        <v>16</v>
      </c>
      <c r="C12" s="14" t="s">
        <v>17</v>
      </c>
      <c r="I12"/>
      <c r="J12"/>
      <c r="K12"/>
      <c r="L12"/>
    </row>
    <row r="13" spans="2:16" ht="14.4" x14ac:dyDescent="0.3">
      <c r="B13" s="15">
        <v>100</v>
      </c>
      <c r="C13" s="15" t="s">
        <v>18</v>
      </c>
      <c r="I13"/>
      <c r="J13"/>
      <c r="K13"/>
      <c r="L13"/>
      <c r="N13"/>
      <c r="O13"/>
      <c r="P13"/>
    </row>
    <row r="14" spans="2:16" ht="14.4" x14ac:dyDescent="0.3">
      <c r="B14" s="15">
        <v>200</v>
      </c>
      <c r="C14" s="15" t="s">
        <v>19</v>
      </c>
      <c r="I14"/>
      <c r="J14"/>
      <c r="K14"/>
      <c r="L14"/>
      <c r="N14"/>
      <c r="O14"/>
      <c r="P14"/>
    </row>
    <row r="15" spans="2:16" ht="14.4" x14ac:dyDescent="0.3">
      <c r="B15" s="15">
        <v>300</v>
      </c>
      <c r="C15" s="15" t="s">
        <v>20</v>
      </c>
      <c r="I15"/>
      <c r="J15"/>
      <c r="K15"/>
      <c r="L15"/>
      <c r="N15"/>
      <c r="O15"/>
      <c r="P15"/>
    </row>
    <row r="16" spans="2:16" ht="14.4" x14ac:dyDescent="0.3">
      <c r="B16" s="15">
        <v>400</v>
      </c>
      <c r="C16" s="15" t="s">
        <v>21</v>
      </c>
      <c r="I16"/>
      <c r="J16"/>
      <c r="K16"/>
      <c r="L16"/>
      <c r="N16"/>
      <c r="O16"/>
      <c r="P16"/>
    </row>
    <row r="17" spans="2:19" ht="14.4" x14ac:dyDescent="0.3">
      <c r="J17"/>
      <c r="K17"/>
      <c r="L17"/>
      <c r="N17"/>
      <c r="O17"/>
      <c r="P17"/>
    </row>
    <row r="18" spans="2:19" ht="14.4" x14ac:dyDescent="0.3">
      <c r="B18" s="14" t="s">
        <v>22</v>
      </c>
      <c r="C18" s="14" t="s">
        <v>23</v>
      </c>
      <c r="D18" s="14" t="s">
        <v>24</v>
      </c>
      <c r="F18"/>
      <c r="G18" s="70"/>
      <c r="H18"/>
      <c r="I18"/>
      <c r="J18"/>
      <c r="K18"/>
      <c r="L18"/>
      <c r="M18"/>
      <c r="N18"/>
      <c r="O18"/>
      <c r="P18"/>
    </row>
    <row r="19" spans="2:19" ht="14.4" x14ac:dyDescent="0.3">
      <c r="B19" s="16"/>
      <c r="C19" s="15" t="s">
        <v>19</v>
      </c>
      <c r="D19" s="17"/>
      <c r="F19"/>
      <c r="G19"/>
      <c r="H19" s="60"/>
      <c r="I19" s="60"/>
      <c r="J19" s="60"/>
      <c r="K19"/>
      <c r="L19"/>
      <c r="M19"/>
      <c r="N19"/>
      <c r="O19"/>
      <c r="P19"/>
    </row>
    <row r="20" spans="2:19" ht="14.4" x14ac:dyDescent="0.3">
      <c r="B20" s="16"/>
      <c r="C20" s="15" t="s">
        <v>19</v>
      </c>
      <c r="D20" s="17"/>
      <c r="F20"/>
      <c r="G20"/>
      <c r="H20"/>
      <c r="I20"/>
      <c r="J20"/>
      <c r="K20"/>
      <c r="L20"/>
      <c r="M20"/>
      <c r="N20"/>
      <c r="O20"/>
      <c r="P20"/>
    </row>
    <row r="21" spans="2:19" ht="14.4" x14ac:dyDescent="0.3">
      <c r="B21" s="16"/>
      <c r="C21" s="15" t="s">
        <v>19</v>
      </c>
      <c r="D21" s="17"/>
      <c r="F21"/>
      <c r="G21"/>
      <c r="H21"/>
      <c r="I21"/>
      <c r="J21"/>
      <c r="K21"/>
      <c r="L21"/>
      <c r="M21"/>
      <c r="N21"/>
      <c r="O21"/>
      <c r="P21"/>
    </row>
    <row r="22" spans="2:19" ht="14.4" x14ac:dyDescent="0.3">
      <c r="B22" s="15"/>
      <c r="C22" s="15"/>
      <c r="D22" s="17"/>
      <c r="F22"/>
      <c r="G22"/>
      <c r="H22"/>
      <c r="I22"/>
      <c r="J22"/>
      <c r="K22"/>
      <c r="L22"/>
      <c r="M22"/>
      <c r="N22"/>
      <c r="O22"/>
      <c r="P22"/>
    </row>
    <row r="23" spans="2:19" ht="14.4" x14ac:dyDescent="0.3">
      <c r="B23" s="15"/>
      <c r="C23" s="15"/>
      <c r="D23" s="17"/>
      <c r="F23"/>
      <c r="G23"/>
      <c r="H23"/>
      <c r="I23"/>
      <c r="J23"/>
      <c r="K23"/>
      <c r="L23"/>
      <c r="M23"/>
      <c r="N23"/>
      <c r="O23"/>
      <c r="P23"/>
    </row>
    <row r="24" spans="2:19" ht="14.4" x14ac:dyDescent="0.3">
      <c r="B24" s="15"/>
      <c r="C24" s="15"/>
      <c r="D24" s="17"/>
      <c r="F24"/>
      <c r="G24"/>
      <c r="H24"/>
      <c r="I24"/>
      <c r="J24"/>
      <c r="K24"/>
      <c r="L24"/>
      <c r="M24"/>
      <c r="N24"/>
      <c r="O24"/>
      <c r="P24"/>
    </row>
    <row r="25" spans="2:19" ht="14.4" x14ac:dyDescent="0.3">
      <c r="B25" s="15"/>
      <c r="C25" s="15"/>
      <c r="D25" s="17"/>
      <c r="F25"/>
      <c r="G25"/>
      <c r="H25"/>
      <c r="I25"/>
      <c r="J25"/>
      <c r="K25"/>
      <c r="L25"/>
      <c r="M25"/>
      <c r="N25"/>
      <c r="O25"/>
      <c r="P25"/>
    </row>
    <row r="26" spans="2:19" ht="14.4" x14ac:dyDescent="0.3">
      <c r="B26" s="15"/>
      <c r="C26" s="15"/>
      <c r="D26" s="17"/>
      <c r="F26"/>
      <c r="G26"/>
      <c r="H26"/>
      <c r="I26"/>
      <c r="J26"/>
      <c r="K26"/>
      <c r="L26"/>
      <c r="M26"/>
      <c r="N26"/>
      <c r="O26"/>
      <c r="P26"/>
    </row>
    <row r="27" spans="2:19" ht="14.4" x14ac:dyDescent="0.3">
      <c r="B27" s="15"/>
      <c r="C27" s="15"/>
      <c r="D27" s="17"/>
      <c r="F27"/>
      <c r="G27"/>
      <c r="H27"/>
      <c r="I27"/>
      <c r="J27"/>
      <c r="K27"/>
      <c r="L27"/>
      <c r="M27"/>
      <c r="N27"/>
      <c r="O27"/>
      <c r="P27"/>
    </row>
    <row r="28" spans="2:19" ht="14.4" x14ac:dyDescent="0.3">
      <c r="J28"/>
      <c r="K28"/>
      <c r="L28"/>
      <c r="M28" s="60"/>
      <c r="N28" s="60"/>
      <c r="O28"/>
      <c r="Q28"/>
      <c r="R28"/>
    </row>
    <row r="29" spans="2:19" ht="14.4" x14ac:dyDescent="0.3">
      <c r="J29"/>
      <c r="K29"/>
      <c r="L29"/>
      <c r="M29" s="61"/>
      <c r="N29" s="60"/>
      <c r="O29"/>
      <c r="Q29"/>
      <c r="R29"/>
    </row>
    <row r="30" spans="2:19" ht="18" x14ac:dyDescent="0.3">
      <c r="B30" s="26" t="s">
        <v>25</v>
      </c>
      <c r="C30" s="26"/>
      <c r="D30" s="26"/>
      <c r="E30" s="26"/>
      <c r="F30" s="27"/>
      <c r="G30" s="27"/>
      <c r="H30" s="27"/>
      <c r="I30" s="27"/>
      <c r="M30" s="60"/>
      <c r="O30" s="60"/>
      <c r="Q30"/>
      <c r="R30"/>
    </row>
    <row r="31" spans="2:19" ht="15.6" x14ac:dyDescent="0.3">
      <c r="B31" s="25"/>
      <c r="L31"/>
      <c r="M31" s="60"/>
      <c r="N31" s="58"/>
      <c r="O31" s="60"/>
      <c r="Q31"/>
      <c r="R31"/>
      <c r="S31" s="66"/>
    </row>
    <row r="32" spans="2:19" ht="14.4" x14ac:dyDescent="0.3">
      <c r="B32" s="8" t="s">
        <v>26</v>
      </c>
      <c r="L32"/>
      <c r="M32" s="60"/>
      <c r="N32" s="58"/>
      <c r="O32" s="60"/>
      <c r="P32"/>
      <c r="Q32"/>
      <c r="R32"/>
    </row>
    <row r="33" spans="2:19" ht="14.4" x14ac:dyDescent="0.3">
      <c r="L33"/>
      <c r="M33" s="60"/>
      <c r="N33" s="58"/>
      <c r="O33" s="60"/>
      <c r="P33"/>
      <c r="Q33"/>
      <c r="R33"/>
    </row>
    <row r="34" spans="2:19" ht="14.4" x14ac:dyDescent="0.3">
      <c r="C34" s="178" t="s">
        <v>27</v>
      </c>
      <c r="D34" s="179"/>
      <c r="E34" s="179"/>
      <c r="F34" s="179"/>
      <c r="G34" s="180"/>
      <c r="J34" s="65"/>
      <c r="K34" s="58"/>
      <c r="L34"/>
      <c r="M34" s="60"/>
      <c r="N34" s="58"/>
      <c r="O34" s="60"/>
      <c r="P34"/>
      <c r="Q34"/>
      <c r="R34"/>
    </row>
    <row r="35" spans="2:19" ht="14.4" x14ac:dyDescent="0.3">
      <c r="B35" s="18" t="s">
        <v>516</v>
      </c>
      <c r="C35" s="19" t="s">
        <v>28</v>
      </c>
      <c r="D35" s="20" t="s">
        <v>29</v>
      </c>
      <c r="E35" s="20" t="s">
        <v>30</v>
      </c>
      <c r="F35" s="20" t="s">
        <v>31</v>
      </c>
      <c r="G35" s="20" t="s">
        <v>32</v>
      </c>
      <c r="J35" s="65"/>
      <c r="K35" s="58"/>
      <c r="L35" s="61"/>
      <c r="M35" s="60"/>
      <c r="N35" s="58"/>
      <c r="O35" s="60"/>
      <c r="P35"/>
      <c r="Q35"/>
      <c r="R35"/>
    </row>
    <row r="36" spans="2:19" ht="14.4" x14ac:dyDescent="0.3">
      <c r="B36" s="21" t="s">
        <v>33</v>
      </c>
      <c r="C36" s="22"/>
      <c r="D36" s="22"/>
      <c r="E36" s="22"/>
      <c r="F36" s="22"/>
      <c r="G36" s="22"/>
      <c r="J36" s="65"/>
      <c r="K36" s="58"/>
      <c r="L36" s="61"/>
      <c r="M36" s="60"/>
      <c r="N36" s="58"/>
      <c r="O36" s="60"/>
      <c r="P36" s="67"/>
      <c r="Q36"/>
      <c r="R36"/>
    </row>
    <row r="37" spans="2:19" ht="14.4" x14ac:dyDescent="0.3">
      <c r="B37" s="23" t="s">
        <v>34</v>
      </c>
      <c r="C37" s="22"/>
      <c r="D37" s="22"/>
      <c r="E37" s="22"/>
      <c r="F37" s="22"/>
      <c r="G37" s="22"/>
      <c r="J37" s="65"/>
      <c r="K37" s="58"/>
      <c r="L37" s="61"/>
      <c r="M37" s="60"/>
      <c r="N37" s="58"/>
      <c r="O37" s="60"/>
      <c r="P37"/>
      <c r="Q37"/>
      <c r="R37"/>
    </row>
    <row r="38" spans="2:19" ht="14.4" x14ac:dyDescent="0.3">
      <c r="B38" s="23" t="s">
        <v>35</v>
      </c>
      <c r="C38" s="22"/>
      <c r="D38" s="22"/>
      <c r="E38" s="22"/>
      <c r="F38" s="22"/>
      <c r="G38" s="22"/>
      <c r="J38" s="65"/>
      <c r="K38" s="58"/>
      <c r="L38" s="61"/>
      <c r="M38" s="60"/>
      <c r="N38" s="58"/>
      <c r="O38" s="60"/>
      <c r="P38"/>
      <c r="Q38"/>
      <c r="R38"/>
      <c r="S38"/>
    </row>
    <row r="39" spans="2:19" ht="14.4" x14ac:dyDescent="0.3">
      <c r="B39" s="23" t="s">
        <v>36</v>
      </c>
      <c r="C39" s="22"/>
      <c r="D39" s="22"/>
      <c r="E39" s="22"/>
      <c r="F39" s="22"/>
      <c r="G39" s="22"/>
      <c r="J39" s="65"/>
      <c r="K39" s="58"/>
      <c r="L39" s="61"/>
      <c r="M39" s="60"/>
      <c r="N39" s="58"/>
      <c r="O39" s="60"/>
      <c r="P39"/>
      <c r="Q39"/>
      <c r="R39"/>
    </row>
    <row r="40" spans="2:19" ht="14.4" x14ac:dyDescent="0.3">
      <c r="B40" s="23" t="s">
        <v>37</v>
      </c>
      <c r="C40" s="22"/>
      <c r="D40" s="22"/>
      <c r="E40" s="22"/>
      <c r="F40" s="22"/>
      <c r="G40" s="22"/>
      <c r="J40" s="65"/>
      <c r="K40" s="58"/>
      <c r="L40" s="61"/>
      <c r="M40" s="60"/>
      <c r="N40" s="58"/>
      <c r="O40" s="60"/>
      <c r="P40"/>
      <c r="Q40"/>
      <c r="R40"/>
    </row>
    <row r="41" spans="2:19" ht="14.4" x14ac:dyDescent="0.3">
      <c r="B41" s="23" t="s">
        <v>38</v>
      </c>
      <c r="C41" s="22"/>
      <c r="D41" s="22">
        <v>8</v>
      </c>
      <c r="E41" s="22"/>
      <c r="F41" s="22"/>
      <c r="G41" s="22"/>
      <c r="J41" s="65"/>
      <c r="K41" s="58"/>
      <c r="L41" s="61"/>
      <c r="M41" s="60"/>
      <c r="N41" s="58"/>
      <c r="O41" s="60"/>
      <c r="P41" s="67"/>
      <c r="Q41"/>
      <c r="R41"/>
    </row>
    <row r="42" spans="2:19" ht="14.4" x14ac:dyDescent="0.3">
      <c r="B42" s="23" t="s">
        <v>39</v>
      </c>
      <c r="C42" s="22"/>
      <c r="D42" s="22"/>
      <c r="E42" s="22"/>
      <c r="F42" s="22"/>
      <c r="G42" s="22"/>
      <c r="J42" s="58"/>
      <c r="K42" s="58"/>
      <c r="L42" s="61"/>
      <c r="M42"/>
      <c r="N42"/>
      <c r="P42"/>
      <c r="Q42"/>
      <c r="R42"/>
    </row>
    <row r="43" spans="2:19" ht="14.4" x14ac:dyDescent="0.3">
      <c r="B43" s="23" t="s">
        <v>40</v>
      </c>
      <c r="C43" s="22"/>
      <c r="D43" s="22"/>
      <c r="E43" s="22"/>
      <c r="F43" s="22"/>
      <c r="G43" s="22"/>
      <c r="J43" s="58"/>
      <c r="K43" s="65"/>
      <c r="L43"/>
      <c r="M43"/>
      <c r="N43"/>
      <c r="P43"/>
      <c r="Q43"/>
      <c r="R43"/>
    </row>
    <row r="44" spans="2:19" ht="14.4" x14ac:dyDescent="0.3">
      <c r="B44" s="23" t="s">
        <v>41</v>
      </c>
      <c r="C44" s="22"/>
      <c r="D44" s="22"/>
      <c r="E44" s="22"/>
      <c r="F44" s="22"/>
      <c r="G44" s="22"/>
      <c r="J44" s="58"/>
      <c r="K44" s="65"/>
      <c r="L44"/>
      <c r="M44"/>
      <c r="N44"/>
      <c r="P44"/>
      <c r="Q44"/>
      <c r="R44"/>
    </row>
    <row r="45" spans="2:19" ht="14.4" x14ac:dyDescent="0.3">
      <c r="B45" s="23" t="s">
        <v>42</v>
      </c>
      <c r="C45" s="22"/>
      <c r="D45" s="22"/>
      <c r="E45" s="22"/>
      <c r="F45" s="22"/>
      <c r="G45" s="22"/>
      <c r="J45" s="58"/>
      <c r="K45" s="65"/>
      <c r="L45"/>
      <c r="M45"/>
      <c r="N45"/>
      <c r="P45"/>
      <c r="Q45"/>
      <c r="R45"/>
    </row>
    <row r="46" spans="2:19" ht="14.4" x14ac:dyDescent="0.3">
      <c r="B46" s="23" t="s">
        <v>43</v>
      </c>
      <c r="C46" s="22"/>
      <c r="D46" s="22"/>
      <c r="E46" s="22"/>
      <c r="F46" s="22"/>
      <c r="G46" s="22"/>
      <c r="L46"/>
      <c r="M46"/>
      <c r="N46"/>
    </row>
    <row r="47" spans="2:19" ht="14.4" x14ac:dyDescent="0.3">
      <c r="L47"/>
      <c r="M47"/>
      <c r="N47"/>
    </row>
    <row r="48" spans="2:19" ht="18" x14ac:dyDescent="0.3">
      <c r="B48" s="26" t="s">
        <v>150</v>
      </c>
      <c r="C48" s="26"/>
      <c r="D48" s="26"/>
      <c r="E48" s="26"/>
      <c r="F48" s="27"/>
      <c r="G48" s="27"/>
      <c r="H48" s="27"/>
      <c r="I48" s="27"/>
      <c r="L48"/>
      <c r="M48"/>
      <c r="N48"/>
    </row>
    <row r="49" spans="2:18" x14ac:dyDescent="0.2">
      <c r="B49" s="28"/>
      <c r="C49" s="28"/>
      <c r="D49" s="28"/>
      <c r="E49" s="28"/>
      <c r="F49" s="28"/>
      <c r="G49" s="28"/>
      <c r="H49" s="28"/>
      <c r="I49" s="28"/>
      <c r="J49" s="28"/>
      <c r="K49" s="28"/>
      <c r="M49" s="28"/>
      <c r="O49" s="28"/>
      <c r="P49" s="28"/>
    </row>
    <row r="50" spans="2:18" ht="14.4" x14ac:dyDescent="0.3">
      <c r="B50" s="72" t="s">
        <v>45</v>
      </c>
      <c r="C50" s="164" t="s">
        <v>46</v>
      </c>
      <c r="D50"/>
      <c r="E50" s="71" t="s">
        <v>48</v>
      </c>
      <c r="F50"/>
      <c r="G50" s="72" t="s">
        <v>49</v>
      </c>
      <c r="H50" s="73" t="s">
        <v>50</v>
      </c>
      <c r="I50"/>
      <c r="J50" s="169" t="s">
        <v>51</v>
      </c>
      <c r="L50" s="71" t="s">
        <v>44</v>
      </c>
      <c r="R50"/>
    </row>
    <row r="51" spans="2:18" ht="14.4" x14ac:dyDescent="0.3">
      <c r="B51" s="29" t="s">
        <v>52</v>
      </c>
      <c r="C51" s="165">
        <v>1</v>
      </c>
      <c r="D51"/>
      <c r="E51" s="63">
        <v>18</v>
      </c>
      <c r="F51"/>
      <c r="G51" s="29">
        <v>12</v>
      </c>
      <c r="H51" s="170">
        <v>1241</v>
      </c>
      <c r="I51"/>
      <c r="J51" s="166" t="s">
        <v>53</v>
      </c>
      <c r="L51" s="62" t="s">
        <v>489</v>
      </c>
      <c r="N51" s="175"/>
      <c r="R51"/>
    </row>
    <row r="52" spans="2:18" ht="14.4" x14ac:dyDescent="0.3">
      <c r="B52" s="29" t="s">
        <v>54</v>
      </c>
      <c r="C52" s="165">
        <v>2</v>
      </c>
      <c r="D52"/>
      <c r="E52" s="63">
        <v>18</v>
      </c>
      <c r="F52"/>
      <c r="G52" s="29">
        <v>25</v>
      </c>
      <c r="H52" s="170">
        <v>1200</v>
      </c>
      <c r="I52"/>
      <c r="J52" s="166" t="s">
        <v>55</v>
      </c>
      <c r="L52" s="63" t="s">
        <v>488</v>
      </c>
      <c r="N52" s="175"/>
      <c r="R52"/>
    </row>
    <row r="53" spans="2:18" ht="14.4" x14ac:dyDescent="0.3">
      <c r="B53" s="29" t="s">
        <v>56</v>
      </c>
      <c r="C53" s="165">
        <v>3</v>
      </c>
      <c r="D53"/>
      <c r="E53" s="63">
        <v>20</v>
      </c>
      <c r="F53"/>
      <c r="G53" s="29">
        <v>12</v>
      </c>
      <c r="H53" s="170">
        <v>1300</v>
      </c>
      <c r="I53"/>
      <c r="J53" s="166" t="s">
        <v>55</v>
      </c>
      <c r="L53" s="63" t="s">
        <v>490</v>
      </c>
      <c r="N53" s="175"/>
      <c r="R53"/>
    </row>
    <row r="54" spans="2:18" ht="14.4" x14ac:dyDescent="0.3">
      <c r="B54" s="29" t="s">
        <v>57</v>
      </c>
      <c r="C54" s="165">
        <v>10</v>
      </c>
      <c r="D54"/>
      <c r="E54" s="63">
        <v>21</v>
      </c>
      <c r="F54"/>
      <c r="G54" s="29">
        <v>23</v>
      </c>
      <c r="H54" s="170">
        <v>1499</v>
      </c>
      <c r="I54"/>
      <c r="J54" s="166" t="s">
        <v>55</v>
      </c>
      <c r="L54" s="63" t="s">
        <v>487</v>
      </c>
      <c r="N54" s="175"/>
      <c r="R54"/>
    </row>
    <row r="55" spans="2:18" ht="14.4" x14ac:dyDescent="0.3">
      <c r="B55" s="29" t="s">
        <v>58</v>
      </c>
      <c r="C55" s="165">
        <v>33</v>
      </c>
      <c r="D55"/>
      <c r="E55" s="63">
        <v>33</v>
      </c>
      <c r="F55"/>
      <c r="G55" s="29">
        <v>13</v>
      </c>
      <c r="H55" s="170">
        <v>1382</v>
      </c>
      <c r="I55"/>
      <c r="J55" s="166" t="s">
        <v>59</v>
      </c>
      <c r="L55" s="63"/>
      <c r="N55" s="175"/>
      <c r="R55"/>
    </row>
    <row r="56" spans="2:18" ht="14.4" x14ac:dyDescent="0.3">
      <c r="B56" s="29" t="s">
        <v>60</v>
      </c>
      <c r="C56" s="165">
        <v>45</v>
      </c>
      <c r="D56"/>
      <c r="E56" s="63">
        <v>24</v>
      </c>
      <c r="F56"/>
      <c r="G56" s="29">
        <v>14</v>
      </c>
      <c r="H56" s="170">
        <v>1476</v>
      </c>
      <c r="I56"/>
      <c r="J56" s="166" t="s">
        <v>61</v>
      </c>
      <c r="L56" s="63"/>
      <c r="N56" s="175"/>
      <c r="R56"/>
    </row>
    <row r="57" spans="2:18" ht="14.4" x14ac:dyDescent="0.3">
      <c r="B57" s="29" t="s">
        <v>62</v>
      </c>
      <c r="C57" s="165">
        <v>10</v>
      </c>
      <c r="D57"/>
      <c r="E57" s="63">
        <v>35</v>
      </c>
      <c r="F57"/>
      <c r="G57" s="29">
        <v>12</v>
      </c>
      <c r="H57" s="170">
        <v>4392</v>
      </c>
      <c r="I57"/>
      <c r="J57" s="166" t="s">
        <v>59</v>
      </c>
      <c r="L57" s="63"/>
      <c r="N57" s="175"/>
      <c r="R57"/>
    </row>
    <row r="58" spans="2:18" ht="14.4" x14ac:dyDescent="0.3">
      <c r="B58" s="29" t="s">
        <v>63</v>
      </c>
      <c r="C58" s="165">
        <v>21</v>
      </c>
      <c r="D58"/>
      <c r="E58" s="63">
        <v>18</v>
      </c>
      <c r="F58"/>
      <c r="G58" s="29">
        <v>18</v>
      </c>
      <c r="H58" s="170">
        <v>1815</v>
      </c>
      <c r="I58"/>
      <c r="J58" s="166" t="s">
        <v>55</v>
      </c>
      <c r="L58" s="63"/>
      <c r="N58" s="175"/>
      <c r="R58"/>
    </row>
    <row r="59" spans="2:18" ht="14.4" x14ac:dyDescent="0.3">
      <c r="B59" s="29" t="s">
        <v>64</v>
      </c>
      <c r="C59" s="165">
        <v>10</v>
      </c>
      <c r="D59"/>
      <c r="E59" s="63">
        <v>18</v>
      </c>
      <c r="F59"/>
      <c r="G59" s="29">
        <v>12</v>
      </c>
      <c r="H59" s="170">
        <v>1327</v>
      </c>
      <c r="I59"/>
      <c r="J59" s="166" t="s">
        <v>55</v>
      </c>
      <c r="L59" s="63"/>
      <c r="N59" s="175"/>
      <c r="R59"/>
    </row>
    <row r="60" spans="2:18" ht="14.4" x14ac:dyDescent="0.3">
      <c r="B60" s="29" t="s">
        <v>65</v>
      </c>
      <c r="C60" s="165">
        <v>33</v>
      </c>
      <c r="D60"/>
      <c r="E60" s="63">
        <v>22</v>
      </c>
      <c r="F60"/>
      <c r="G60" s="29">
        <v>21</v>
      </c>
      <c r="H60" s="170">
        <v>1567</v>
      </c>
      <c r="I60"/>
      <c r="J60" s="166" t="s">
        <v>55</v>
      </c>
      <c r="L60" s="63"/>
      <c r="N60" s="175"/>
      <c r="R60"/>
    </row>
    <row r="61" spans="2:18" ht="14.4" x14ac:dyDescent="0.3">
      <c r="B61" s="30" t="s">
        <v>66</v>
      </c>
      <c r="C61" s="168">
        <v>44</v>
      </c>
      <c r="D61"/>
      <c r="E61" s="64">
        <v>21</v>
      </c>
      <c r="F61"/>
      <c r="G61" s="30">
        <v>12</v>
      </c>
      <c r="H61" s="171">
        <v>3244</v>
      </c>
      <c r="I61"/>
      <c r="J61" s="167" t="s">
        <v>67</v>
      </c>
      <c r="L61" s="64"/>
      <c r="N61" s="175"/>
      <c r="R61"/>
    </row>
    <row r="63" spans="2:18" ht="18" x14ac:dyDescent="0.2">
      <c r="B63" s="26" t="s">
        <v>151</v>
      </c>
      <c r="C63" s="26"/>
      <c r="D63" s="26"/>
      <c r="E63" s="26"/>
      <c r="F63" s="27"/>
      <c r="G63" s="27"/>
      <c r="H63" s="27"/>
      <c r="I63" s="27"/>
    </row>
    <row r="65" spans="2:17" ht="14.4" x14ac:dyDescent="0.35">
      <c r="B65" s="31" t="s">
        <v>69</v>
      </c>
      <c r="C65" s="32" t="s">
        <v>70</v>
      </c>
      <c r="D65" s="33" t="s">
        <v>71</v>
      </c>
      <c r="E65" s="34"/>
      <c r="F65" s="34"/>
      <c r="G65" s="34"/>
      <c r="H65" s="34"/>
      <c r="I65" s="35" t="s">
        <v>72</v>
      </c>
    </row>
    <row r="66" spans="2:17" ht="14.4" x14ac:dyDescent="0.35">
      <c r="B66" s="177" t="s">
        <v>76</v>
      </c>
      <c r="C66" s="177" t="s">
        <v>73</v>
      </c>
      <c r="D66" s="177" t="s">
        <v>74</v>
      </c>
      <c r="E66" s="34"/>
      <c r="F66" s="36"/>
      <c r="G66" s="37"/>
      <c r="H66" s="38" t="s">
        <v>75</v>
      </c>
      <c r="I66" s="39" t="s">
        <v>71</v>
      </c>
    </row>
    <row r="67" spans="2:17" ht="14.4" x14ac:dyDescent="0.35">
      <c r="B67" s="177" t="s">
        <v>80</v>
      </c>
      <c r="C67" s="177" t="s">
        <v>77</v>
      </c>
      <c r="D67" s="177" t="s">
        <v>78</v>
      </c>
      <c r="E67" s="34"/>
      <c r="F67" s="40"/>
      <c r="G67" s="41"/>
      <c r="H67" s="42" t="s">
        <v>79</v>
      </c>
      <c r="I67" s="39" t="s">
        <v>103</v>
      </c>
      <c r="K67" s="172" t="s">
        <v>152</v>
      </c>
    </row>
    <row r="68" spans="2:17" ht="14.4" x14ac:dyDescent="0.35">
      <c r="B68" s="177" t="s">
        <v>83</v>
      </c>
      <c r="C68" s="177" t="s">
        <v>81</v>
      </c>
      <c r="D68" s="177" t="s">
        <v>82</v>
      </c>
      <c r="E68" s="34"/>
      <c r="F68" s="34"/>
      <c r="G68" s="34"/>
      <c r="H68" s="34"/>
      <c r="I68" s="34"/>
    </row>
    <row r="69" spans="2:17" ht="15" x14ac:dyDescent="0.35">
      <c r="B69" s="177" t="s">
        <v>86</v>
      </c>
      <c r="C69" s="177" t="s">
        <v>84</v>
      </c>
      <c r="D69" s="177" t="s">
        <v>85</v>
      </c>
      <c r="E69" s="34"/>
      <c r="F69" s="34"/>
      <c r="G69"/>
      <c r="H69"/>
      <c r="I69"/>
      <c r="J69"/>
      <c r="K69" s="60"/>
      <c r="L69"/>
      <c r="M69"/>
      <c r="N69" s="68"/>
    </row>
    <row r="70" spans="2:17" ht="15" x14ac:dyDescent="0.35">
      <c r="B70" s="177" t="s">
        <v>89</v>
      </c>
      <c r="C70" s="177" t="s">
        <v>87</v>
      </c>
      <c r="D70" s="177" t="s">
        <v>88</v>
      </c>
      <c r="E70" s="34"/>
      <c r="F70" s="59"/>
      <c r="G70" s="177" t="s">
        <v>526</v>
      </c>
      <c r="H70"/>
      <c r="I70"/>
      <c r="J70"/>
      <c r="K70" s="60"/>
      <c r="L70"/>
      <c r="M70"/>
      <c r="N70" s="68"/>
    </row>
    <row r="71" spans="2:17" ht="15" x14ac:dyDescent="0.35">
      <c r="B71" s="177" t="s">
        <v>92</v>
      </c>
      <c r="C71" s="177" t="s">
        <v>90</v>
      </c>
      <c r="D71" s="177" t="s">
        <v>91</v>
      </c>
      <c r="E71" s="34"/>
      <c r="F71" s="34"/>
      <c r="G71"/>
      <c r="H71"/>
      <c r="I71"/>
      <c r="J71"/>
      <c r="K71"/>
      <c r="L71"/>
      <c r="M71"/>
      <c r="O71" s="59"/>
    </row>
    <row r="72" spans="2:17" ht="15" x14ac:dyDescent="0.35">
      <c r="B72" s="177" t="s">
        <v>95</v>
      </c>
      <c r="C72" s="177" t="s">
        <v>93</v>
      </c>
      <c r="D72" s="177" t="s">
        <v>94</v>
      </c>
      <c r="E72" s="34"/>
      <c r="F72" s="34"/>
      <c r="G72"/>
      <c r="H72"/>
      <c r="I72"/>
      <c r="J72"/>
      <c r="K72"/>
      <c r="L72"/>
      <c r="M72"/>
      <c r="O72" s="34"/>
    </row>
    <row r="73" spans="2:17" ht="15" x14ac:dyDescent="0.35">
      <c r="B73" s="177" t="s">
        <v>98</v>
      </c>
      <c r="C73" s="177" t="s">
        <v>96</v>
      </c>
      <c r="D73" s="177" t="s">
        <v>97</v>
      </c>
      <c r="E73" s="34"/>
      <c r="F73" s="34"/>
      <c r="G73"/>
      <c r="H73"/>
      <c r="I73"/>
      <c r="J73"/>
      <c r="K73"/>
      <c r="L73"/>
      <c r="M73"/>
      <c r="O73"/>
      <c r="P73"/>
      <c r="Q73"/>
    </row>
    <row r="74" spans="2:17" ht="15" x14ac:dyDescent="0.35">
      <c r="B74" s="177" t="s">
        <v>101</v>
      </c>
      <c r="C74" s="177" t="s">
        <v>99</v>
      </c>
      <c r="D74" s="177" t="s">
        <v>100</v>
      </c>
      <c r="E74" s="34"/>
      <c r="F74" s="34"/>
      <c r="G74"/>
      <c r="H74"/>
      <c r="I74"/>
      <c r="J74"/>
      <c r="K74"/>
      <c r="L74"/>
      <c r="M74"/>
      <c r="O74"/>
      <c r="P74"/>
      <c r="Q74"/>
    </row>
    <row r="75" spans="2:17" ht="15" x14ac:dyDescent="0.35">
      <c r="B75" s="177" t="s">
        <v>104</v>
      </c>
      <c r="C75" s="177" t="s">
        <v>102</v>
      </c>
      <c r="D75" s="177" t="s">
        <v>103</v>
      </c>
      <c r="E75" s="34"/>
      <c r="F75" s="34"/>
      <c r="G75"/>
      <c r="H75"/>
      <c r="I75"/>
      <c r="J75"/>
      <c r="K75"/>
      <c r="L75"/>
      <c r="M75"/>
      <c r="O75"/>
      <c r="P75"/>
      <c r="Q75"/>
    </row>
    <row r="76" spans="2:17" ht="15" x14ac:dyDescent="0.35">
      <c r="B76" s="177" t="s">
        <v>107</v>
      </c>
      <c r="C76" s="177" t="s">
        <v>105</v>
      </c>
      <c r="D76" s="177" t="s">
        <v>106</v>
      </c>
      <c r="E76" s="34"/>
      <c r="F76" s="34"/>
      <c r="G76"/>
      <c r="H76"/>
      <c r="I76"/>
      <c r="J76"/>
      <c r="K76"/>
      <c r="L76"/>
      <c r="M76"/>
      <c r="O76"/>
      <c r="P76"/>
      <c r="Q76"/>
    </row>
    <row r="77" spans="2:17" ht="15" x14ac:dyDescent="0.35">
      <c r="B77" s="177" t="s">
        <v>110</v>
      </c>
      <c r="C77" s="177" t="s">
        <v>108</v>
      </c>
      <c r="D77" s="177" t="s">
        <v>109</v>
      </c>
      <c r="E77" s="34"/>
      <c r="F77" s="34"/>
      <c r="G77"/>
      <c r="H77"/>
      <c r="I77"/>
      <c r="J77"/>
      <c r="K77"/>
      <c r="L77"/>
      <c r="M77"/>
      <c r="O77"/>
      <c r="P77"/>
      <c r="Q77"/>
    </row>
    <row r="78" spans="2:17" ht="15" x14ac:dyDescent="0.35">
      <c r="B78" s="177" t="s">
        <v>113</v>
      </c>
      <c r="C78" s="177" t="s">
        <v>111</v>
      </c>
      <c r="D78" s="177" t="s">
        <v>112</v>
      </c>
      <c r="E78" s="34"/>
      <c r="F78" s="34"/>
      <c r="G78"/>
      <c r="H78"/>
      <c r="I78"/>
      <c r="J78"/>
      <c r="K78"/>
      <c r="L78"/>
      <c r="M78"/>
      <c r="O78"/>
      <c r="P78"/>
      <c r="Q78"/>
    </row>
    <row r="79" spans="2:17" ht="15" x14ac:dyDescent="0.35">
      <c r="B79" s="177" t="s">
        <v>116</v>
      </c>
      <c r="C79" s="177" t="s">
        <v>114</v>
      </c>
      <c r="D79" s="177" t="s">
        <v>115</v>
      </c>
      <c r="E79" s="34"/>
      <c r="F79" s="34"/>
      <c r="G79"/>
      <c r="H79"/>
      <c r="I79"/>
      <c r="J79"/>
      <c r="K79"/>
      <c r="L79"/>
      <c r="M79"/>
      <c r="O79"/>
      <c r="P79"/>
      <c r="Q79"/>
    </row>
    <row r="80" spans="2:17" ht="15" x14ac:dyDescent="0.35">
      <c r="B80" s="177" t="s">
        <v>118</v>
      </c>
      <c r="C80" s="177" t="s">
        <v>53</v>
      </c>
      <c r="D80" s="177" t="s">
        <v>117</v>
      </c>
      <c r="E80" s="34"/>
      <c r="F80" s="34"/>
      <c r="G80"/>
      <c r="H80"/>
      <c r="I80"/>
      <c r="J80"/>
      <c r="K80"/>
      <c r="L80"/>
      <c r="M80"/>
      <c r="O80"/>
      <c r="P80"/>
      <c r="Q80"/>
    </row>
    <row r="81" spans="2:17" ht="15" x14ac:dyDescent="0.35">
      <c r="B81" s="177" t="s">
        <v>121</v>
      </c>
      <c r="C81" s="177" t="s">
        <v>119</v>
      </c>
      <c r="D81" s="177" t="s">
        <v>120</v>
      </c>
      <c r="E81" s="34"/>
      <c r="F81" s="34"/>
      <c r="G81" s="34"/>
      <c r="J81"/>
      <c r="K81" s="34"/>
      <c r="M81" s="34"/>
      <c r="O81"/>
      <c r="P81"/>
      <c r="Q81"/>
    </row>
    <row r="82" spans="2:17" ht="15" x14ac:dyDescent="0.35">
      <c r="B82" s="177" t="s">
        <v>124</v>
      </c>
      <c r="C82" s="177" t="s">
        <v>122</v>
      </c>
      <c r="D82" s="177" t="s">
        <v>123</v>
      </c>
      <c r="E82" s="34"/>
      <c r="F82" s="34"/>
      <c r="G82" s="34"/>
      <c r="J82"/>
      <c r="K82" s="34"/>
      <c r="M82" s="34"/>
      <c r="O82"/>
      <c r="P82"/>
      <c r="Q82"/>
    </row>
    <row r="83" spans="2:17" ht="15" x14ac:dyDescent="0.35">
      <c r="B83" s="177" t="s">
        <v>127</v>
      </c>
      <c r="C83" s="177" t="s">
        <v>125</v>
      </c>
      <c r="D83" s="177" t="s">
        <v>126</v>
      </c>
      <c r="E83" s="34"/>
      <c r="F83" s="34"/>
      <c r="G83" s="34"/>
      <c r="J83"/>
      <c r="K83" s="34"/>
      <c r="M83" s="34"/>
      <c r="O83"/>
      <c r="P83"/>
      <c r="Q83"/>
    </row>
    <row r="84" spans="2:17" ht="15" x14ac:dyDescent="0.35">
      <c r="B84" s="177" t="s">
        <v>130</v>
      </c>
      <c r="C84" s="177" t="s">
        <v>128</v>
      </c>
      <c r="D84" s="177" t="s">
        <v>129</v>
      </c>
      <c r="E84" s="34"/>
      <c r="F84" s="34"/>
      <c r="G84" s="34"/>
      <c r="J84"/>
      <c r="K84" s="34"/>
      <c r="M84" s="34"/>
      <c r="O84"/>
      <c r="P84"/>
      <c r="Q84"/>
    </row>
    <row r="85" spans="2:17" ht="15" x14ac:dyDescent="0.35">
      <c r="B85" s="177" t="s">
        <v>132</v>
      </c>
      <c r="C85" s="177" t="s">
        <v>131</v>
      </c>
      <c r="D85" s="177"/>
      <c r="E85" s="34"/>
      <c r="F85" s="34"/>
      <c r="G85" s="34"/>
      <c r="J85"/>
      <c r="K85" s="34"/>
      <c r="M85" s="34"/>
      <c r="O85"/>
      <c r="P85"/>
      <c r="Q85"/>
    </row>
    <row r="86" spans="2:17" ht="15" x14ac:dyDescent="0.35">
      <c r="B86" s="177" t="s">
        <v>134</v>
      </c>
      <c r="C86" s="177" t="s">
        <v>133</v>
      </c>
      <c r="D86" s="177"/>
      <c r="E86" s="34"/>
      <c r="F86" s="34"/>
      <c r="G86" s="34"/>
      <c r="J86"/>
      <c r="K86" s="34"/>
      <c r="M86" s="34"/>
      <c r="O86"/>
      <c r="P86"/>
      <c r="Q86"/>
    </row>
    <row r="87" spans="2:17" ht="15" x14ac:dyDescent="0.35">
      <c r="B87" s="177" t="s">
        <v>136</v>
      </c>
      <c r="C87" s="177" t="s">
        <v>135</v>
      </c>
      <c r="D87" s="177"/>
      <c r="E87" s="34"/>
      <c r="F87" s="34"/>
      <c r="G87" s="34"/>
      <c r="J87"/>
      <c r="K87" s="34"/>
      <c r="M87" s="34"/>
      <c r="O87"/>
      <c r="P87"/>
      <c r="Q87"/>
    </row>
    <row r="88" spans="2:17" ht="15" x14ac:dyDescent="0.35">
      <c r="B88" s="177" t="s">
        <v>138</v>
      </c>
      <c r="C88" s="177" t="s">
        <v>137</v>
      </c>
      <c r="D88" s="177"/>
      <c r="E88" s="34"/>
      <c r="F88" s="34"/>
      <c r="G88" s="34"/>
      <c r="J88"/>
      <c r="K88" s="34"/>
      <c r="M88" s="34"/>
      <c r="O88"/>
      <c r="P88"/>
      <c r="Q88"/>
    </row>
    <row r="89" spans="2:17" ht="15" x14ac:dyDescent="0.35">
      <c r="B89" s="177" t="s">
        <v>140</v>
      </c>
      <c r="C89" s="177" t="s">
        <v>139</v>
      </c>
      <c r="D89" s="177"/>
      <c r="E89" s="34"/>
      <c r="F89" s="34"/>
      <c r="G89" s="34"/>
      <c r="J89"/>
      <c r="K89" s="34"/>
      <c r="M89" s="34"/>
      <c r="O89"/>
      <c r="P89"/>
      <c r="Q89"/>
    </row>
    <row r="90" spans="2:17" ht="15" x14ac:dyDescent="0.35">
      <c r="B90" s="177" t="s">
        <v>142</v>
      </c>
      <c r="C90" s="177" t="s">
        <v>141</v>
      </c>
      <c r="D90" s="177"/>
      <c r="E90" s="34"/>
      <c r="F90" s="34"/>
      <c r="G90" s="34"/>
      <c r="J90"/>
      <c r="K90" s="34"/>
      <c r="M90" s="34"/>
      <c r="O90"/>
      <c r="P90"/>
      <c r="Q90"/>
    </row>
    <row r="91" spans="2:17" ht="15" x14ac:dyDescent="0.35">
      <c r="B91" s="177" t="s">
        <v>143</v>
      </c>
      <c r="C91" s="177"/>
      <c r="D91" s="177"/>
      <c r="E91" s="34"/>
      <c r="F91" s="34"/>
      <c r="G91" s="34"/>
      <c r="J91"/>
      <c r="K91" s="34"/>
      <c r="M91" s="34"/>
      <c r="N91" s="34"/>
      <c r="O91" s="34"/>
    </row>
    <row r="92" spans="2:17" ht="15" x14ac:dyDescent="0.35">
      <c r="B92" s="177" t="s">
        <v>144</v>
      </c>
      <c r="C92" s="177"/>
      <c r="D92" s="177"/>
      <c r="E92" s="34"/>
      <c r="F92" s="34"/>
      <c r="G92" s="34"/>
      <c r="J92"/>
      <c r="K92" s="34"/>
      <c r="M92" s="34"/>
      <c r="N92" s="34"/>
    </row>
    <row r="93" spans="2:17" ht="15" x14ac:dyDescent="0.35">
      <c r="B93" s="34" t="s">
        <v>145</v>
      </c>
      <c r="C93" s="34"/>
      <c r="D93" s="34"/>
      <c r="E93" s="34"/>
      <c r="F93" s="34"/>
      <c r="G93" s="34"/>
      <c r="J93"/>
      <c r="K93" s="34"/>
      <c r="M93" s="34"/>
      <c r="N93" s="34"/>
    </row>
    <row r="94" spans="2:17" ht="15" x14ac:dyDescent="0.35">
      <c r="B94" s="34" t="s">
        <v>146</v>
      </c>
      <c r="C94" s="34"/>
      <c r="D94" s="34"/>
      <c r="E94" s="34"/>
      <c r="F94" s="34"/>
      <c r="G94" s="34"/>
      <c r="J94"/>
      <c r="K94" s="34"/>
      <c r="M94" s="34"/>
      <c r="N94" s="34"/>
    </row>
    <row r="95" spans="2:17" ht="15" x14ac:dyDescent="0.35">
      <c r="B95" s="34" t="s">
        <v>147</v>
      </c>
      <c r="C95" s="34"/>
      <c r="D95" s="34"/>
      <c r="E95" s="34"/>
      <c r="F95" s="34"/>
      <c r="G95" s="34"/>
      <c r="J95"/>
      <c r="K95" s="34"/>
      <c r="M95" s="34"/>
      <c r="N95" s="34"/>
    </row>
    <row r="96" spans="2:17" ht="15" x14ac:dyDescent="0.35">
      <c r="B96" s="34" t="s">
        <v>148</v>
      </c>
      <c r="C96" s="34"/>
      <c r="D96" s="34"/>
      <c r="E96" s="34"/>
      <c r="F96" s="34"/>
      <c r="G96" s="34"/>
      <c r="J96"/>
      <c r="K96" s="34"/>
      <c r="M96" s="34"/>
      <c r="N96" s="34"/>
    </row>
    <row r="97" spans="2:14" ht="15" x14ac:dyDescent="0.35">
      <c r="B97" s="34" t="s">
        <v>149</v>
      </c>
      <c r="C97" s="34"/>
      <c r="D97" s="34"/>
      <c r="E97" s="34"/>
      <c r="F97" s="34"/>
      <c r="G97" s="34"/>
      <c r="J97"/>
      <c r="K97" s="34"/>
      <c r="L97" s="34"/>
      <c r="M97" s="34"/>
      <c r="N97"/>
    </row>
    <row r="98" spans="2:14" ht="15" x14ac:dyDescent="0.35">
      <c r="C98" s="34"/>
      <c r="D98" s="34"/>
      <c r="E98" s="34"/>
      <c r="F98" s="34"/>
      <c r="G98" s="34"/>
      <c r="H98" s="34"/>
      <c r="J98"/>
      <c r="K98" s="34"/>
      <c r="L98" s="34"/>
      <c r="M98" s="34"/>
      <c r="N98"/>
    </row>
    <row r="99" spans="2:14" ht="15" x14ac:dyDescent="0.35">
      <c r="F99" s="34"/>
      <c r="G99" s="34"/>
      <c r="H99" s="34"/>
      <c r="J99"/>
      <c r="K99" s="34"/>
      <c r="L99" s="34"/>
      <c r="M99" s="34"/>
      <c r="N99"/>
    </row>
    <row r="100" spans="2:14" ht="15" x14ac:dyDescent="0.35">
      <c r="F100" s="34"/>
      <c r="G100" s="34"/>
      <c r="H100" s="34"/>
      <c r="I100" s="34"/>
      <c r="J100"/>
      <c r="K100" s="34"/>
      <c r="L100" s="34"/>
      <c r="M100" s="34"/>
      <c r="N100"/>
    </row>
    <row r="101" spans="2:14" ht="15" x14ac:dyDescent="0.35">
      <c r="F101" s="34"/>
      <c r="G101" s="34"/>
      <c r="H101" s="34"/>
      <c r="I101" s="34"/>
      <c r="J101"/>
      <c r="K101" s="34"/>
      <c r="L101" s="34"/>
      <c r="M101" s="34"/>
      <c r="N101"/>
    </row>
    <row r="102" spans="2:14" ht="15" x14ac:dyDescent="0.35">
      <c r="F102" s="34"/>
      <c r="G102" s="34"/>
      <c r="H102" s="34"/>
      <c r="I102" s="34"/>
      <c r="J102"/>
      <c r="K102" s="34"/>
      <c r="L102" s="34"/>
      <c r="M102" s="34"/>
      <c r="N102"/>
    </row>
    <row r="103" spans="2:14" ht="15" x14ac:dyDescent="0.35">
      <c r="F103" s="34"/>
      <c r="G103" s="34"/>
      <c r="H103" s="34"/>
      <c r="I103" s="34"/>
      <c r="J103"/>
      <c r="K103" s="34"/>
      <c r="L103" s="34"/>
      <c r="M103" s="34"/>
      <c r="N103"/>
    </row>
    <row r="104" spans="2:14" ht="15" x14ac:dyDescent="0.35">
      <c r="G104" s="34"/>
      <c r="H104" s="34"/>
      <c r="I104" s="34"/>
      <c r="J104"/>
      <c r="K104" s="34"/>
      <c r="L104"/>
      <c r="M104"/>
      <c r="N104"/>
    </row>
    <row r="105" spans="2:14" ht="15" x14ac:dyDescent="0.35">
      <c r="G105" s="34"/>
      <c r="H105" s="34"/>
      <c r="I105" s="34"/>
      <c r="J105"/>
      <c r="K105" s="34"/>
      <c r="L105"/>
      <c r="M105"/>
      <c r="N105"/>
    </row>
    <row r="106" spans="2:14" ht="14.4" x14ac:dyDescent="0.35">
      <c r="G106" s="34"/>
      <c r="H106" s="34"/>
      <c r="I106" s="34"/>
      <c r="K106" s="34"/>
    </row>
    <row r="107" spans="2:14" ht="14.4" x14ac:dyDescent="0.35">
      <c r="I107" s="34"/>
      <c r="K107" s="34"/>
    </row>
    <row r="108" spans="2:14" ht="14.4" x14ac:dyDescent="0.35">
      <c r="K108" s="34"/>
    </row>
    <row r="109" spans="2:14" ht="14.4" x14ac:dyDescent="0.35">
      <c r="K109" s="34"/>
    </row>
    <row r="110" spans="2:14" ht="14.4" x14ac:dyDescent="0.35">
      <c r="K110" s="34"/>
    </row>
    <row r="111" spans="2:14" ht="14.4" x14ac:dyDescent="0.35">
      <c r="K111" s="34"/>
    </row>
    <row r="112" spans="2:14" ht="14.4" x14ac:dyDescent="0.35">
      <c r="K112" s="34"/>
    </row>
    <row r="113" spans="11:11" ht="14.4" x14ac:dyDescent="0.35">
      <c r="K113" s="34"/>
    </row>
    <row r="114" spans="11:11" ht="14.4" x14ac:dyDescent="0.35">
      <c r="K114" s="34"/>
    </row>
    <row r="115" spans="11:11" ht="14.4" x14ac:dyDescent="0.35">
      <c r="K115" s="34"/>
    </row>
    <row r="116" spans="11:11" ht="14.4" x14ac:dyDescent="0.35">
      <c r="K116" s="34"/>
    </row>
    <row r="117" spans="11:11" ht="14.4" x14ac:dyDescent="0.35">
      <c r="K117" s="34"/>
    </row>
    <row r="118" spans="11:11" ht="14.4" x14ac:dyDescent="0.35">
      <c r="K118" s="34"/>
    </row>
    <row r="119" spans="11:11" ht="14.4" x14ac:dyDescent="0.35">
      <c r="K119" s="34"/>
    </row>
    <row r="120" spans="11:11" ht="14.4" x14ac:dyDescent="0.35">
      <c r="K120" s="34"/>
    </row>
    <row r="121" spans="11:11" ht="14.4" x14ac:dyDescent="0.35">
      <c r="K121" s="34"/>
    </row>
    <row r="122" spans="11:11" ht="14.4" x14ac:dyDescent="0.35">
      <c r="K122" s="34"/>
    </row>
    <row r="123" spans="11:11" ht="14.4" x14ac:dyDescent="0.35">
      <c r="K123" s="34"/>
    </row>
  </sheetData>
  <mergeCells count="1">
    <mergeCell ref="C34:G34"/>
  </mergeCells>
  <phoneticPr fontId="10" type="noConversion"/>
  <dataValidations count="14">
    <dataValidation type="textLength" allowBlank="1" showInputMessage="1" showErrorMessage="1" sqref="B13:B16" xr:uid="{BB9226E4-3CE2-471C-83DD-827D712B07B0}">
      <formula1>3</formula1>
      <formula2>3</formula2>
    </dataValidation>
    <dataValidation type="whole" allowBlank="1" showInputMessage="1" showErrorMessage="1" sqref="K5:K6" xr:uid="{14EBB2C1-0020-4411-A3D9-FF98D754DAA4}">
      <formula1>5</formula1>
      <formula2>10</formula2>
    </dataValidation>
    <dataValidation type="custom" allowBlank="1" showInputMessage="1" showErrorMessage="1" sqref="C14" xr:uid="{5B6E9B8C-F994-4643-9BCF-42B314497A7D}">
      <formula1>ISTEXT(C14:C16)</formula1>
    </dataValidation>
    <dataValidation type="custom" allowBlank="1" showInputMessage="1" showErrorMessage="1" sqref="C13" xr:uid="{F6F4DAD0-028E-4DC8-9435-79833CCF16DD}">
      <formula1>ISTEXT(C13:C16)</formula1>
    </dataValidation>
    <dataValidation type="custom" allowBlank="1" showInputMessage="1" showErrorMessage="1" sqref="C15:C16" xr:uid="{924DC525-CDFD-4502-B859-164FA3A91CCF}">
      <formula1>ISTEXT(C15:C16)</formula1>
    </dataValidation>
    <dataValidation type="date" allowBlank="1" showInputMessage="1" showErrorMessage="1" errorTitle="Error" error="Lee tu mensaje de entrada" promptTitle="Leer" prompt="Solo se permiten ingresan fechas del 2023" sqref="B19:B27" xr:uid="{B64D2157-EC25-4D8B-B212-73018B6398AB}">
      <formula1>44927</formula1>
      <formula2>45291</formula2>
    </dataValidation>
    <dataValidation type="list" allowBlank="1" showInputMessage="1" showErrorMessage="1" sqref="C19:C27" xr:uid="{83FE3EDC-7B7D-47D3-AA42-652B9A5DAD38}">
      <formula1>$C$13:$C$16</formula1>
    </dataValidation>
    <dataValidation type="textLength" allowBlank="1" showInputMessage="1" showErrorMessage="1" sqref="D19:D27" xr:uid="{AB106AD2-8543-4FF3-A87A-F0E194291C3D}">
      <formula1>4</formula1>
      <formula2>64</formula2>
    </dataValidation>
    <dataValidation type="whole" allowBlank="1" showInputMessage="1" showErrorMessage="1" sqref="C36:G46" xr:uid="{97D5BAA5-4934-4B29-8F2B-B2505F767BFA}">
      <formula1>8</formula1>
      <formula2>20</formula2>
    </dataValidation>
    <dataValidation type="whole" operator="greaterThanOrEqual" allowBlank="1" showInputMessage="1" showErrorMessage="1" sqref="E51:E61" xr:uid="{81C469EA-9CE2-4E2A-A3D2-49A319FCF71C}">
      <formula1>18</formula1>
    </dataValidation>
    <dataValidation type="whole" operator="lessThanOrEqual" allowBlank="1" showInputMessage="1" showErrorMessage="1" sqref="H51:H61" xr:uid="{84E04793-1576-4272-B046-9F41A8501730}">
      <formula1>1500</formula1>
    </dataValidation>
    <dataValidation type="list" allowBlank="1" showInputMessage="1" showErrorMessage="1" sqref="J51:J61" xr:uid="{52EBDCA8-E00F-4E04-A1B1-116331777513}">
      <formula1>"Lima,Callao,San Isidro ,Barrios Altos, Jesus Maria"</formula1>
    </dataValidation>
    <dataValidation type="list" allowBlank="1" showInputMessage="1" showErrorMessage="1" sqref="I66" xr:uid="{A7A67CE2-0DFD-43AA-A37D-116960DD5BC5}">
      <formula1>$B$65:$D$65</formula1>
    </dataValidation>
    <dataValidation type="list" allowBlank="1" showInputMessage="1" showErrorMessage="1" sqref="I67" xr:uid="{53F99C9A-BB73-45F9-A3B2-E7287D1439C9}">
      <formula1>INDIRECT(I66)</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1121B-FE4E-4DF3-9C67-029BFF09F298}">
  <sheetPr codeName="Hoja4"/>
  <dimension ref="B2:K881"/>
  <sheetViews>
    <sheetView showGridLines="0" zoomScale="80" zoomScaleNormal="80" workbookViewId="0">
      <selection activeCell="H2" sqref="H2"/>
    </sheetView>
  </sheetViews>
  <sheetFormatPr baseColWidth="10" defaultRowHeight="14.4" x14ac:dyDescent="0.3"/>
  <cols>
    <col min="1" max="1" width="4.5546875" customWidth="1"/>
    <col min="2" max="2" width="12.88671875" style="43" customWidth="1"/>
    <col min="3" max="3" width="11.44140625" style="43"/>
    <col min="4" max="4" width="18.5546875" style="43" customWidth="1"/>
    <col min="5" max="5" width="13.88671875" style="43" customWidth="1"/>
    <col min="6" max="7" width="11.44140625" style="43"/>
    <col min="8" max="8" width="12.33203125" style="43" customWidth="1"/>
    <col min="10" max="10" width="15.5546875" bestFit="1" customWidth="1"/>
    <col min="11" max="11" width="13.77734375" customWidth="1"/>
  </cols>
  <sheetData>
    <row r="2" spans="2:11" ht="15.6" x14ac:dyDescent="0.3">
      <c r="B2" s="173" t="s">
        <v>218</v>
      </c>
    </row>
    <row r="4" spans="2:11" x14ac:dyDescent="0.3">
      <c r="B4" t="s">
        <v>22</v>
      </c>
      <c r="C4" t="s">
        <v>153</v>
      </c>
      <c r="D4" t="s">
        <v>154</v>
      </c>
      <c r="E4" t="s">
        <v>155</v>
      </c>
      <c r="F4" t="s">
        <v>156</v>
      </c>
      <c r="G4" t="s">
        <v>47</v>
      </c>
      <c r="H4" t="s">
        <v>157</v>
      </c>
      <c r="I4" t="s">
        <v>530</v>
      </c>
      <c r="J4" t="s">
        <v>424</v>
      </c>
      <c r="K4" t="s">
        <v>531</v>
      </c>
    </row>
    <row r="5" spans="2:11" x14ac:dyDescent="0.3">
      <c r="B5" s="67">
        <v>44227</v>
      </c>
      <c r="C5" t="s">
        <v>160</v>
      </c>
      <c r="D5" t="s">
        <v>161</v>
      </c>
      <c r="E5" t="s">
        <v>162</v>
      </c>
      <c r="F5" t="s">
        <v>163</v>
      </c>
      <c r="G5" s="82">
        <v>9731</v>
      </c>
      <c r="H5" s="82">
        <v>3016.61</v>
      </c>
      <c r="I5">
        <f>YEAR(tbl_dashboard_ejm[[#This Row],[Fecha]])</f>
        <v>2021</v>
      </c>
      <c r="J5" t="str">
        <f>TEXT(tbl_dashboard_ejm[[#This Row],[Fecha]],"MMMM")</f>
        <v>enero</v>
      </c>
      <c r="K5">
        <f>WEEKNUM(tbl_dashboard_ejm[[#This Row],[Fecha]],2)</f>
        <v>5</v>
      </c>
    </row>
    <row r="6" spans="2:11" x14ac:dyDescent="0.3">
      <c r="B6" s="67">
        <v>44227</v>
      </c>
      <c r="C6" t="s">
        <v>164</v>
      </c>
      <c r="D6" t="s">
        <v>165</v>
      </c>
      <c r="E6" t="s">
        <v>166</v>
      </c>
      <c r="F6" t="s">
        <v>163</v>
      </c>
      <c r="G6" s="82">
        <v>9142</v>
      </c>
      <c r="H6" s="82">
        <v>2194.08</v>
      </c>
      <c r="I6">
        <f>YEAR(tbl_dashboard_ejm[[#This Row],[Fecha]])</f>
        <v>2021</v>
      </c>
      <c r="J6" t="str">
        <f>TEXT(tbl_dashboard_ejm[[#This Row],[Fecha]],"MMMM")</f>
        <v>enero</v>
      </c>
      <c r="K6">
        <f>WEEKNUM(tbl_dashboard_ejm[[#This Row],[Fecha]],2)</f>
        <v>5</v>
      </c>
    </row>
    <row r="7" spans="2:11" x14ac:dyDescent="0.3">
      <c r="B7" s="67">
        <v>44227</v>
      </c>
      <c r="C7" t="s">
        <v>167</v>
      </c>
      <c r="D7" t="s">
        <v>168</v>
      </c>
      <c r="E7" t="s">
        <v>166</v>
      </c>
      <c r="F7" t="s">
        <v>169</v>
      </c>
      <c r="G7" s="82">
        <v>4458</v>
      </c>
      <c r="H7" s="82">
        <v>847.02</v>
      </c>
      <c r="I7">
        <f>YEAR(tbl_dashboard_ejm[[#This Row],[Fecha]])</f>
        <v>2021</v>
      </c>
      <c r="J7" t="str">
        <f>TEXT(tbl_dashboard_ejm[[#This Row],[Fecha]],"MMMM")</f>
        <v>enero</v>
      </c>
      <c r="K7">
        <f>WEEKNUM(tbl_dashboard_ejm[[#This Row],[Fecha]],2)</f>
        <v>5</v>
      </c>
    </row>
    <row r="8" spans="2:11" x14ac:dyDescent="0.3">
      <c r="B8" s="67">
        <v>44227</v>
      </c>
      <c r="C8" t="s">
        <v>170</v>
      </c>
      <c r="D8" t="s">
        <v>165</v>
      </c>
      <c r="E8" t="s">
        <v>162</v>
      </c>
      <c r="F8" t="s">
        <v>169</v>
      </c>
      <c r="G8" s="82">
        <v>7882</v>
      </c>
      <c r="H8" s="82">
        <v>3310.44</v>
      </c>
      <c r="I8">
        <f>YEAR(tbl_dashboard_ejm[[#This Row],[Fecha]])</f>
        <v>2021</v>
      </c>
      <c r="J8" t="str">
        <f>TEXT(tbl_dashboard_ejm[[#This Row],[Fecha]],"MMMM")</f>
        <v>enero</v>
      </c>
      <c r="K8">
        <f>WEEKNUM(tbl_dashboard_ejm[[#This Row],[Fecha]],2)</f>
        <v>5</v>
      </c>
    </row>
    <row r="9" spans="2:11" x14ac:dyDescent="0.3">
      <c r="B9" s="67">
        <v>44227</v>
      </c>
      <c r="C9" t="s">
        <v>171</v>
      </c>
      <c r="D9" t="s">
        <v>165</v>
      </c>
      <c r="E9" t="s">
        <v>162</v>
      </c>
      <c r="F9" t="s">
        <v>163</v>
      </c>
      <c r="G9" s="82">
        <v>6102</v>
      </c>
      <c r="H9" s="82">
        <v>915.3</v>
      </c>
      <c r="I9">
        <f>YEAR(tbl_dashboard_ejm[[#This Row],[Fecha]])</f>
        <v>2021</v>
      </c>
      <c r="J9" t="str">
        <f>TEXT(tbl_dashboard_ejm[[#This Row],[Fecha]],"MMMM")</f>
        <v>enero</v>
      </c>
      <c r="K9">
        <f>WEEKNUM(tbl_dashboard_ejm[[#This Row],[Fecha]],2)</f>
        <v>5</v>
      </c>
    </row>
    <row r="10" spans="2:11" x14ac:dyDescent="0.3">
      <c r="B10" s="67">
        <v>44227</v>
      </c>
      <c r="C10" t="s">
        <v>172</v>
      </c>
      <c r="D10" t="s">
        <v>165</v>
      </c>
      <c r="E10" t="s">
        <v>162</v>
      </c>
      <c r="F10" t="s">
        <v>163</v>
      </c>
      <c r="G10" s="82">
        <v>7832</v>
      </c>
      <c r="H10" s="82">
        <v>1801.36</v>
      </c>
      <c r="I10">
        <f>YEAR(tbl_dashboard_ejm[[#This Row],[Fecha]])</f>
        <v>2021</v>
      </c>
      <c r="J10" t="str">
        <f>TEXT(tbl_dashboard_ejm[[#This Row],[Fecha]],"MMMM")</f>
        <v>enero</v>
      </c>
      <c r="K10">
        <f>WEEKNUM(tbl_dashboard_ejm[[#This Row],[Fecha]],2)</f>
        <v>5</v>
      </c>
    </row>
    <row r="11" spans="2:11" x14ac:dyDescent="0.3">
      <c r="B11" s="67">
        <v>44226</v>
      </c>
      <c r="C11" t="s">
        <v>173</v>
      </c>
      <c r="D11" t="s">
        <v>161</v>
      </c>
      <c r="E11" t="s">
        <v>166</v>
      </c>
      <c r="F11" t="s">
        <v>169</v>
      </c>
      <c r="G11" s="82">
        <v>10433</v>
      </c>
      <c r="H11" s="82">
        <v>4277.53</v>
      </c>
      <c r="I11">
        <f>YEAR(tbl_dashboard_ejm[[#This Row],[Fecha]])</f>
        <v>2021</v>
      </c>
      <c r="J11" t="str">
        <f>TEXT(tbl_dashboard_ejm[[#This Row],[Fecha]],"MMMM")</f>
        <v>enero</v>
      </c>
      <c r="K11">
        <f>WEEKNUM(tbl_dashboard_ejm[[#This Row],[Fecha]],2)</f>
        <v>5</v>
      </c>
    </row>
    <row r="12" spans="2:11" x14ac:dyDescent="0.3">
      <c r="B12" s="67">
        <v>44222</v>
      </c>
      <c r="C12" t="s">
        <v>174</v>
      </c>
      <c r="D12" t="s">
        <v>165</v>
      </c>
      <c r="E12" t="s">
        <v>166</v>
      </c>
      <c r="F12" t="s">
        <v>163</v>
      </c>
      <c r="G12" s="82">
        <v>5797</v>
      </c>
      <c r="H12" s="82">
        <v>2028.95</v>
      </c>
      <c r="I12">
        <f>YEAR(tbl_dashboard_ejm[[#This Row],[Fecha]])</f>
        <v>2021</v>
      </c>
      <c r="J12" t="str">
        <f>TEXT(tbl_dashboard_ejm[[#This Row],[Fecha]],"MMMM")</f>
        <v>enero</v>
      </c>
      <c r="K12">
        <f>WEEKNUM(tbl_dashboard_ejm[[#This Row],[Fecha]],2)</f>
        <v>5</v>
      </c>
    </row>
    <row r="13" spans="2:11" x14ac:dyDescent="0.3">
      <c r="B13" s="67">
        <v>44221</v>
      </c>
      <c r="C13" t="s">
        <v>175</v>
      </c>
      <c r="D13" t="s">
        <v>168</v>
      </c>
      <c r="E13" t="s">
        <v>166</v>
      </c>
      <c r="F13" t="s">
        <v>169</v>
      </c>
      <c r="G13" s="82">
        <v>3957</v>
      </c>
      <c r="H13" s="82">
        <v>1384.95</v>
      </c>
      <c r="I13">
        <f>YEAR(tbl_dashboard_ejm[[#This Row],[Fecha]])</f>
        <v>2021</v>
      </c>
      <c r="J13" t="str">
        <f>TEXT(tbl_dashboard_ejm[[#This Row],[Fecha]],"MMMM")</f>
        <v>enero</v>
      </c>
      <c r="K13">
        <f>WEEKNUM(tbl_dashboard_ejm[[#This Row],[Fecha]],2)</f>
        <v>5</v>
      </c>
    </row>
    <row r="14" spans="2:11" x14ac:dyDescent="0.3">
      <c r="B14" s="67">
        <v>44221</v>
      </c>
      <c r="C14" t="s">
        <v>176</v>
      </c>
      <c r="D14" t="s">
        <v>161</v>
      </c>
      <c r="E14" t="s">
        <v>166</v>
      </c>
      <c r="F14" t="s">
        <v>169</v>
      </c>
      <c r="G14" s="82">
        <v>9623</v>
      </c>
      <c r="H14" s="82">
        <v>3271.82</v>
      </c>
      <c r="I14">
        <f>YEAR(tbl_dashboard_ejm[[#This Row],[Fecha]])</f>
        <v>2021</v>
      </c>
      <c r="J14" t="str">
        <f>TEXT(tbl_dashboard_ejm[[#This Row],[Fecha]],"MMMM")</f>
        <v>enero</v>
      </c>
      <c r="K14">
        <f>WEEKNUM(tbl_dashboard_ejm[[#This Row],[Fecha]],2)</f>
        <v>5</v>
      </c>
    </row>
    <row r="15" spans="2:11" x14ac:dyDescent="0.3">
      <c r="B15" s="67">
        <v>44221</v>
      </c>
      <c r="C15" t="s">
        <v>177</v>
      </c>
      <c r="D15" t="s">
        <v>165</v>
      </c>
      <c r="E15" t="s">
        <v>166</v>
      </c>
      <c r="F15" t="s">
        <v>169</v>
      </c>
      <c r="G15" s="82">
        <v>9221</v>
      </c>
      <c r="H15" s="82">
        <v>3780.61</v>
      </c>
      <c r="I15">
        <f>YEAR(tbl_dashboard_ejm[[#This Row],[Fecha]])</f>
        <v>2021</v>
      </c>
      <c r="J15" t="str">
        <f>TEXT(tbl_dashboard_ejm[[#This Row],[Fecha]],"MMMM")</f>
        <v>enero</v>
      </c>
      <c r="K15">
        <f>WEEKNUM(tbl_dashboard_ejm[[#This Row],[Fecha]],2)</f>
        <v>5</v>
      </c>
    </row>
    <row r="16" spans="2:11" x14ac:dyDescent="0.3">
      <c r="B16" s="67">
        <v>44221</v>
      </c>
      <c r="C16" t="s">
        <v>178</v>
      </c>
      <c r="D16" t="s">
        <v>168</v>
      </c>
      <c r="E16" t="s">
        <v>166</v>
      </c>
      <c r="F16" t="s">
        <v>169</v>
      </c>
      <c r="G16" s="82">
        <v>7301</v>
      </c>
      <c r="H16" s="82">
        <v>1095.1500000000001</v>
      </c>
      <c r="I16">
        <f>YEAR(tbl_dashboard_ejm[[#This Row],[Fecha]])</f>
        <v>2021</v>
      </c>
      <c r="J16" t="str">
        <f>TEXT(tbl_dashboard_ejm[[#This Row],[Fecha]],"MMMM")</f>
        <v>enero</v>
      </c>
      <c r="K16">
        <f>WEEKNUM(tbl_dashboard_ejm[[#This Row],[Fecha]],2)</f>
        <v>5</v>
      </c>
    </row>
    <row r="17" spans="2:11" x14ac:dyDescent="0.3">
      <c r="B17" s="67">
        <v>44220</v>
      </c>
      <c r="C17" t="s">
        <v>179</v>
      </c>
      <c r="D17" t="s">
        <v>168</v>
      </c>
      <c r="E17" t="s">
        <v>166</v>
      </c>
      <c r="F17" t="s">
        <v>169</v>
      </c>
      <c r="G17" s="82">
        <v>4257</v>
      </c>
      <c r="H17" s="82">
        <v>638.54999999999995</v>
      </c>
      <c r="I17">
        <f>YEAR(tbl_dashboard_ejm[[#This Row],[Fecha]])</f>
        <v>2021</v>
      </c>
      <c r="J17" t="str">
        <f>TEXT(tbl_dashboard_ejm[[#This Row],[Fecha]],"MMMM")</f>
        <v>enero</v>
      </c>
      <c r="K17">
        <f>WEEKNUM(tbl_dashboard_ejm[[#This Row],[Fecha]],2)</f>
        <v>4</v>
      </c>
    </row>
    <row r="18" spans="2:11" x14ac:dyDescent="0.3">
      <c r="B18" s="67">
        <v>44226</v>
      </c>
      <c r="C18" t="s">
        <v>180</v>
      </c>
      <c r="D18" t="s">
        <v>165</v>
      </c>
      <c r="E18" t="s">
        <v>162</v>
      </c>
      <c r="F18" t="s">
        <v>163</v>
      </c>
      <c r="G18" s="82">
        <v>11659</v>
      </c>
      <c r="H18" s="82">
        <v>3847.47</v>
      </c>
      <c r="I18">
        <f>YEAR(tbl_dashboard_ejm[[#This Row],[Fecha]])</f>
        <v>2021</v>
      </c>
      <c r="J18" t="str">
        <f>TEXT(tbl_dashboard_ejm[[#This Row],[Fecha]],"MMMM")</f>
        <v>enero</v>
      </c>
      <c r="K18">
        <f>WEEKNUM(tbl_dashboard_ejm[[#This Row],[Fecha]],2)</f>
        <v>5</v>
      </c>
    </row>
    <row r="19" spans="2:11" x14ac:dyDescent="0.3">
      <c r="B19" s="67">
        <v>44226</v>
      </c>
      <c r="C19" t="s">
        <v>181</v>
      </c>
      <c r="D19" t="s">
        <v>165</v>
      </c>
      <c r="E19" t="s">
        <v>162</v>
      </c>
      <c r="F19" t="s">
        <v>163</v>
      </c>
      <c r="G19" s="82">
        <v>4380</v>
      </c>
      <c r="H19" s="82">
        <v>700.8</v>
      </c>
      <c r="I19">
        <f>YEAR(tbl_dashboard_ejm[[#This Row],[Fecha]])</f>
        <v>2021</v>
      </c>
      <c r="J19" t="str">
        <f>TEXT(tbl_dashboard_ejm[[#This Row],[Fecha]],"MMMM")</f>
        <v>enero</v>
      </c>
      <c r="K19">
        <f>WEEKNUM(tbl_dashboard_ejm[[#This Row],[Fecha]],2)</f>
        <v>5</v>
      </c>
    </row>
    <row r="20" spans="2:11" x14ac:dyDescent="0.3">
      <c r="B20" s="67">
        <v>44226</v>
      </c>
      <c r="C20" t="s">
        <v>182</v>
      </c>
      <c r="D20" t="s">
        <v>165</v>
      </c>
      <c r="E20" t="s">
        <v>166</v>
      </c>
      <c r="F20" t="s">
        <v>169</v>
      </c>
      <c r="G20" s="82">
        <v>2049</v>
      </c>
      <c r="H20" s="82">
        <v>614.70000000000005</v>
      </c>
      <c r="I20">
        <f>YEAR(tbl_dashboard_ejm[[#This Row],[Fecha]])</f>
        <v>2021</v>
      </c>
      <c r="J20" t="str">
        <f>TEXT(tbl_dashboard_ejm[[#This Row],[Fecha]],"MMMM")</f>
        <v>enero</v>
      </c>
      <c r="K20">
        <f>WEEKNUM(tbl_dashboard_ejm[[#This Row],[Fecha]],2)</f>
        <v>5</v>
      </c>
    </row>
    <row r="21" spans="2:11" x14ac:dyDescent="0.3">
      <c r="B21" s="67">
        <v>44226</v>
      </c>
      <c r="C21" t="s">
        <v>183</v>
      </c>
      <c r="D21" t="s">
        <v>161</v>
      </c>
      <c r="E21" t="s">
        <v>162</v>
      </c>
      <c r="F21" t="s">
        <v>169</v>
      </c>
      <c r="G21" s="82">
        <v>3633</v>
      </c>
      <c r="H21" s="82">
        <v>1380.54</v>
      </c>
      <c r="I21">
        <f>YEAR(tbl_dashboard_ejm[[#This Row],[Fecha]])</f>
        <v>2021</v>
      </c>
      <c r="J21" t="str">
        <f>TEXT(tbl_dashboard_ejm[[#This Row],[Fecha]],"MMMM")</f>
        <v>enero</v>
      </c>
      <c r="K21">
        <f>WEEKNUM(tbl_dashboard_ejm[[#This Row],[Fecha]],2)</f>
        <v>5</v>
      </c>
    </row>
    <row r="22" spans="2:11" x14ac:dyDescent="0.3">
      <c r="B22" s="67">
        <v>44226</v>
      </c>
      <c r="C22" t="s">
        <v>184</v>
      </c>
      <c r="D22" t="s">
        <v>165</v>
      </c>
      <c r="E22" t="s">
        <v>166</v>
      </c>
      <c r="F22" t="s">
        <v>163</v>
      </c>
      <c r="G22" s="82">
        <v>3347</v>
      </c>
      <c r="H22" s="82">
        <v>1171.45</v>
      </c>
      <c r="I22">
        <f>YEAR(tbl_dashboard_ejm[[#This Row],[Fecha]])</f>
        <v>2021</v>
      </c>
      <c r="J22" t="str">
        <f>TEXT(tbl_dashboard_ejm[[#This Row],[Fecha]],"MMMM")</f>
        <v>enero</v>
      </c>
      <c r="K22">
        <f>WEEKNUM(tbl_dashboard_ejm[[#This Row],[Fecha]],2)</f>
        <v>5</v>
      </c>
    </row>
    <row r="23" spans="2:11" x14ac:dyDescent="0.3">
      <c r="B23" s="67">
        <v>44226</v>
      </c>
      <c r="C23" t="s">
        <v>185</v>
      </c>
      <c r="D23" t="s">
        <v>165</v>
      </c>
      <c r="E23" t="s">
        <v>162</v>
      </c>
      <c r="F23" t="s">
        <v>163</v>
      </c>
      <c r="G23" s="82">
        <v>11574</v>
      </c>
      <c r="H23" s="82">
        <v>2893.5</v>
      </c>
      <c r="I23">
        <f>YEAR(tbl_dashboard_ejm[[#This Row],[Fecha]])</f>
        <v>2021</v>
      </c>
      <c r="J23" t="str">
        <f>TEXT(tbl_dashboard_ejm[[#This Row],[Fecha]],"MMMM")</f>
        <v>enero</v>
      </c>
      <c r="K23">
        <f>WEEKNUM(tbl_dashboard_ejm[[#This Row],[Fecha]],2)</f>
        <v>5</v>
      </c>
    </row>
    <row r="24" spans="2:11" x14ac:dyDescent="0.3">
      <c r="B24" s="67">
        <v>44226</v>
      </c>
      <c r="C24" t="s">
        <v>186</v>
      </c>
      <c r="D24" t="s">
        <v>168</v>
      </c>
      <c r="E24" t="s">
        <v>162</v>
      </c>
      <c r="F24" t="s">
        <v>169</v>
      </c>
      <c r="G24" s="82">
        <v>11768</v>
      </c>
      <c r="H24" s="82">
        <v>3059.68</v>
      </c>
      <c r="I24">
        <f>YEAR(tbl_dashboard_ejm[[#This Row],[Fecha]])</f>
        <v>2021</v>
      </c>
      <c r="J24" t="str">
        <f>TEXT(tbl_dashboard_ejm[[#This Row],[Fecha]],"MMMM")</f>
        <v>enero</v>
      </c>
      <c r="K24">
        <f>WEEKNUM(tbl_dashboard_ejm[[#This Row],[Fecha]],2)</f>
        <v>5</v>
      </c>
    </row>
    <row r="25" spans="2:11" x14ac:dyDescent="0.3">
      <c r="B25" s="67">
        <v>44222</v>
      </c>
      <c r="C25" t="s">
        <v>187</v>
      </c>
      <c r="D25" t="s">
        <v>165</v>
      </c>
      <c r="E25" t="s">
        <v>166</v>
      </c>
      <c r="F25" t="s">
        <v>163</v>
      </c>
      <c r="G25" s="82">
        <v>3678</v>
      </c>
      <c r="H25" s="82">
        <v>1324.08</v>
      </c>
      <c r="I25">
        <f>YEAR(tbl_dashboard_ejm[[#This Row],[Fecha]])</f>
        <v>2021</v>
      </c>
      <c r="J25" t="str">
        <f>TEXT(tbl_dashboard_ejm[[#This Row],[Fecha]],"MMMM")</f>
        <v>enero</v>
      </c>
      <c r="K25">
        <f>WEEKNUM(tbl_dashboard_ejm[[#This Row],[Fecha]],2)</f>
        <v>5</v>
      </c>
    </row>
    <row r="26" spans="2:11" x14ac:dyDescent="0.3">
      <c r="B26" s="67">
        <v>44221</v>
      </c>
      <c r="C26" t="s">
        <v>188</v>
      </c>
      <c r="D26" t="s">
        <v>161</v>
      </c>
      <c r="E26" t="s">
        <v>162</v>
      </c>
      <c r="F26" t="s">
        <v>169</v>
      </c>
      <c r="G26" s="82">
        <v>8498</v>
      </c>
      <c r="H26" s="82">
        <v>3144.26</v>
      </c>
      <c r="I26">
        <f>YEAR(tbl_dashboard_ejm[[#This Row],[Fecha]])</f>
        <v>2021</v>
      </c>
      <c r="J26" t="str">
        <f>TEXT(tbl_dashboard_ejm[[#This Row],[Fecha]],"MMMM")</f>
        <v>enero</v>
      </c>
      <c r="K26">
        <f>WEEKNUM(tbl_dashboard_ejm[[#This Row],[Fecha]],2)</f>
        <v>5</v>
      </c>
    </row>
    <row r="27" spans="2:11" x14ac:dyDescent="0.3">
      <c r="B27" s="67">
        <v>44221</v>
      </c>
      <c r="C27" t="s">
        <v>189</v>
      </c>
      <c r="D27" t="s">
        <v>161</v>
      </c>
      <c r="E27" t="s">
        <v>162</v>
      </c>
      <c r="F27" t="s">
        <v>169</v>
      </c>
      <c r="G27" s="82">
        <v>6094</v>
      </c>
      <c r="H27" s="82">
        <v>1157.8599999999999</v>
      </c>
      <c r="I27">
        <f>YEAR(tbl_dashboard_ejm[[#This Row],[Fecha]])</f>
        <v>2021</v>
      </c>
      <c r="J27" t="str">
        <f>TEXT(tbl_dashboard_ejm[[#This Row],[Fecha]],"MMMM")</f>
        <v>enero</v>
      </c>
      <c r="K27">
        <f>WEEKNUM(tbl_dashboard_ejm[[#This Row],[Fecha]],2)</f>
        <v>5</v>
      </c>
    </row>
    <row r="28" spans="2:11" x14ac:dyDescent="0.3">
      <c r="B28" s="67">
        <v>44221</v>
      </c>
      <c r="C28" t="s">
        <v>190</v>
      </c>
      <c r="D28" t="s">
        <v>161</v>
      </c>
      <c r="E28" t="s">
        <v>166</v>
      </c>
      <c r="F28" t="s">
        <v>169</v>
      </c>
      <c r="G28" s="82">
        <v>11208</v>
      </c>
      <c r="H28" s="82">
        <v>3698.64</v>
      </c>
      <c r="I28">
        <f>YEAR(tbl_dashboard_ejm[[#This Row],[Fecha]])</f>
        <v>2021</v>
      </c>
      <c r="J28" t="str">
        <f>TEXT(tbl_dashboard_ejm[[#This Row],[Fecha]],"MMMM")</f>
        <v>enero</v>
      </c>
      <c r="K28">
        <f>WEEKNUM(tbl_dashboard_ejm[[#This Row],[Fecha]],2)</f>
        <v>5</v>
      </c>
    </row>
    <row r="29" spans="2:11" x14ac:dyDescent="0.3">
      <c r="B29" s="67">
        <v>44221</v>
      </c>
      <c r="C29" t="s">
        <v>191</v>
      </c>
      <c r="D29" t="s">
        <v>168</v>
      </c>
      <c r="E29" t="s">
        <v>162</v>
      </c>
      <c r="F29" t="s">
        <v>169</v>
      </c>
      <c r="G29" s="82">
        <v>2430</v>
      </c>
      <c r="H29" s="82">
        <v>777.6</v>
      </c>
      <c r="I29">
        <f>YEAR(tbl_dashboard_ejm[[#This Row],[Fecha]])</f>
        <v>2021</v>
      </c>
      <c r="J29" t="str">
        <f>TEXT(tbl_dashboard_ejm[[#This Row],[Fecha]],"MMMM")</f>
        <v>enero</v>
      </c>
      <c r="K29">
        <f>WEEKNUM(tbl_dashboard_ejm[[#This Row],[Fecha]],2)</f>
        <v>5</v>
      </c>
    </row>
    <row r="30" spans="2:11" x14ac:dyDescent="0.3">
      <c r="B30" s="67">
        <v>44220</v>
      </c>
      <c r="C30" t="s">
        <v>192</v>
      </c>
      <c r="D30" t="s">
        <v>161</v>
      </c>
      <c r="E30" t="s">
        <v>162</v>
      </c>
      <c r="F30" t="s">
        <v>169</v>
      </c>
      <c r="G30" s="82">
        <v>10748</v>
      </c>
      <c r="H30" s="82">
        <v>4406.68</v>
      </c>
      <c r="I30">
        <f>YEAR(tbl_dashboard_ejm[[#This Row],[Fecha]])</f>
        <v>2021</v>
      </c>
      <c r="J30" t="str">
        <f>TEXT(tbl_dashboard_ejm[[#This Row],[Fecha]],"MMMM")</f>
        <v>enero</v>
      </c>
      <c r="K30">
        <f>WEEKNUM(tbl_dashboard_ejm[[#This Row],[Fecha]],2)</f>
        <v>4</v>
      </c>
    </row>
    <row r="31" spans="2:11" x14ac:dyDescent="0.3">
      <c r="B31" s="67">
        <v>44227</v>
      </c>
      <c r="C31" t="s">
        <v>193</v>
      </c>
      <c r="D31" t="s">
        <v>161</v>
      </c>
      <c r="E31" t="s">
        <v>162</v>
      </c>
      <c r="F31" t="s">
        <v>163</v>
      </c>
      <c r="G31" s="82">
        <v>9609</v>
      </c>
      <c r="H31" s="82">
        <v>3651.42</v>
      </c>
      <c r="I31">
        <f>YEAR(tbl_dashboard_ejm[[#This Row],[Fecha]])</f>
        <v>2021</v>
      </c>
      <c r="J31" t="str">
        <f>TEXT(tbl_dashboard_ejm[[#This Row],[Fecha]],"MMMM")</f>
        <v>enero</v>
      </c>
      <c r="K31">
        <f>WEEKNUM(tbl_dashboard_ejm[[#This Row],[Fecha]],2)</f>
        <v>5</v>
      </c>
    </row>
    <row r="32" spans="2:11" x14ac:dyDescent="0.3">
      <c r="B32" s="67">
        <v>44227</v>
      </c>
      <c r="C32" t="s">
        <v>194</v>
      </c>
      <c r="D32" t="s">
        <v>161</v>
      </c>
      <c r="E32" t="s">
        <v>162</v>
      </c>
      <c r="F32" t="s">
        <v>163</v>
      </c>
      <c r="G32" s="82">
        <v>3334</v>
      </c>
      <c r="H32" s="82">
        <v>1233.58</v>
      </c>
      <c r="I32">
        <f>YEAR(tbl_dashboard_ejm[[#This Row],[Fecha]])</f>
        <v>2021</v>
      </c>
      <c r="J32" t="str">
        <f>TEXT(tbl_dashboard_ejm[[#This Row],[Fecha]],"MMMM")</f>
        <v>enero</v>
      </c>
      <c r="K32">
        <f>WEEKNUM(tbl_dashboard_ejm[[#This Row],[Fecha]],2)</f>
        <v>5</v>
      </c>
    </row>
    <row r="33" spans="2:11" x14ac:dyDescent="0.3">
      <c r="B33" s="67">
        <v>44227</v>
      </c>
      <c r="C33" t="s">
        <v>195</v>
      </c>
      <c r="D33" t="s">
        <v>161</v>
      </c>
      <c r="E33" t="s">
        <v>162</v>
      </c>
      <c r="F33" t="s">
        <v>169</v>
      </c>
      <c r="G33" s="82">
        <v>11944</v>
      </c>
      <c r="H33" s="82">
        <v>5374.8</v>
      </c>
      <c r="I33">
        <f>YEAR(tbl_dashboard_ejm[[#This Row],[Fecha]])</f>
        <v>2021</v>
      </c>
      <c r="J33" t="str">
        <f>TEXT(tbl_dashboard_ejm[[#This Row],[Fecha]],"MMMM")</f>
        <v>enero</v>
      </c>
      <c r="K33">
        <f>WEEKNUM(tbl_dashboard_ejm[[#This Row],[Fecha]],2)</f>
        <v>5</v>
      </c>
    </row>
    <row r="34" spans="2:11" x14ac:dyDescent="0.3">
      <c r="B34" s="67">
        <v>44227</v>
      </c>
      <c r="C34" t="s">
        <v>196</v>
      </c>
      <c r="D34" t="s">
        <v>168</v>
      </c>
      <c r="E34" t="s">
        <v>162</v>
      </c>
      <c r="F34" t="s">
        <v>169</v>
      </c>
      <c r="G34" s="82">
        <v>2224</v>
      </c>
      <c r="H34" s="82">
        <v>978.56</v>
      </c>
      <c r="I34">
        <f>YEAR(tbl_dashboard_ejm[[#This Row],[Fecha]])</f>
        <v>2021</v>
      </c>
      <c r="J34" t="str">
        <f>TEXT(tbl_dashboard_ejm[[#This Row],[Fecha]],"MMMM")</f>
        <v>enero</v>
      </c>
      <c r="K34">
        <f>WEEKNUM(tbl_dashboard_ejm[[#This Row],[Fecha]],2)</f>
        <v>5</v>
      </c>
    </row>
    <row r="35" spans="2:11" x14ac:dyDescent="0.3">
      <c r="B35" s="67">
        <v>44227</v>
      </c>
      <c r="C35" t="s">
        <v>197</v>
      </c>
      <c r="D35" t="s">
        <v>168</v>
      </c>
      <c r="E35" t="s">
        <v>166</v>
      </c>
      <c r="F35" t="s">
        <v>163</v>
      </c>
      <c r="G35" s="82">
        <v>7854</v>
      </c>
      <c r="H35" s="82">
        <v>2827.44</v>
      </c>
      <c r="I35">
        <f>YEAR(tbl_dashboard_ejm[[#This Row],[Fecha]])</f>
        <v>2021</v>
      </c>
      <c r="J35" t="str">
        <f>TEXT(tbl_dashboard_ejm[[#This Row],[Fecha]],"MMMM")</f>
        <v>enero</v>
      </c>
      <c r="K35">
        <f>WEEKNUM(tbl_dashboard_ejm[[#This Row],[Fecha]],2)</f>
        <v>5</v>
      </c>
    </row>
    <row r="36" spans="2:11" x14ac:dyDescent="0.3">
      <c r="B36" s="67">
        <v>44227</v>
      </c>
      <c r="C36" t="s">
        <v>198</v>
      </c>
      <c r="D36" t="s">
        <v>168</v>
      </c>
      <c r="E36" t="s">
        <v>166</v>
      </c>
      <c r="F36" t="s">
        <v>163</v>
      </c>
      <c r="G36" s="82">
        <v>11564</v>
      </c>
      <c r="H36" s="82">
        <v>4972.5200000000004</v>
      </c>
      <c r="I36">
        <f>YEAR(tbl_dashboard_ejm[[#This Row],[Fecha]])</f>
        <v>2021</v>
      </c>
      <c r="J36" t="str">
        <f>TEXT(tbl_dashboard_ejm[[#This Row],[Fecha]],"MMMM")</f>
        <v>enero</v>
      </c>
      <c r="K36">
        <f>WEEKNUM(tbl_dashboard_ejm[[#This Row],[Fecha]],2)</f>
        <v>5</v>
      </c>
    </row>
    <row r="37" spans="2:11" x14ac:dyDescent="0.3">
      <c r="B37" s="67">
        <v>44226</v>
      </c>
      <c r="C37" t="s">
        <v>199</v>
      </c>
      <c r="D37" t="s">
        <v>165</v>
      </c>
      <c r="E37" t="s">
        <v>166</v>
      </c>
      <c r="F37" t="s">
        <v>169</v>
      </c>
      <c r="G37" s="82">
        <v>8933</v>
      </c>
      <c r="H37" s="82">
        <v>3483.87</v>
      </c>
      <c r="I37">
        <f>YEAR(tbl_dashboard_ejm[[#This Row],[Fecha]])</f>
        <v>2021</v>
      </c>
      <c r="J37" t="str">
        <f>TEXT(tbl_dashboard_ejm[[#This Row],[Fecha]],"MMMM")</f>
        <v>enero</v>
      </c>
      <c r="K37">
        <f>WEEKNUM(tbl_dashboard_ejm[[#This Row],[Fecha]],2)</f>
        <v>5</v>
      </c>
    </row>
    <row r="38" spans="2:11" x14ac:dyDescent="0.3">
      <c r="B38" s="67">
        <v>44222</v>
      </c>
      <c r="C38" t="s">
        <v>200</v>
      </c>
      <c r="D38" t="s">
        <v>168</v>
      </c>
      <c r="E38" t="s">
        <v>162</v>
      </c>
      <c r="F38" t="s">
        <v>163</v>
      </c>
      <c r="G38" s="82">
        <v>11324</v>
      </c>
      <c r="H38" s="82">
        <v>4756.08</v>
      </c>
      <c r="I38">
        <f>YEAR(tbl_dashboard_ejm[[#This Row],[Fecha]])</f>
        <v>2021</v>
      </c>
      <c r="J38" t="str">
        <f>TEXT(tbl_dashboard_ejm[[#This Row],[Fecha]],"MMMM")</f>
        <v>enero</v>
      </c>
      <c r="K38">
        <f>WEEKNUM(tbl_dashboard_ejm[[#This Row],[Fecha]],2)</f>
        <v>5</v>
      </c>
    </row>
    <row r="39" spans="2:11" x14ac:dyDescent="0.3">
      <c r="B39" s="67">
        <v>44221</v>
      </c>
      <c r="C39" t="s">
        <v>201</v>
      </c>
      <c r="D39" t="s">
        <v>161</v>
      </c>
      <c r="E39" t="s">
        <v>162</v>
      </c>
      <c r="F39" t="s">
        <v>169</v>
      </c>
      <c r="G39" s="82">
        <v>1924</v>
      </c>
      <c r="H39" s="82">
        <v>865.8</v>
      </c>
      <c r="I39">
        <f>YEAR(tbl_dashboard_ejm[[#This Row],[Fecha]])</f>
        <v>2021</v>
      </c>
      <c r="J39" t="str">
        <f>TEXT(tbl_dashboard_ejm[[#This Row],[Fecha]],"MMMM")</f>
        <v>enero</v>
      </c>
      <c r="K39">
        <f>WEEKNUM(tbl_dashboard_ejm[[#This Row],[Fecha]],2)</f>
        <v>5</v>
      </c>
    </row>
    <row r="40" spans="2:11" x14ac:dyDescent="0.3">
      <c r="B40" s="67">
        <v>44221</v>
      </c>
      <c r="C40" t="s">
        <v>202</v>
      </c>
      <c r="D40" t="s">
        <v>168</v>
      </c>
      <c r="E40" t="s">
        <v>162</v>
      </c>
      <c r="F40" t="s">
        <v>169</v>
      </c>
      <c r="G40" s="82">
        <v>7271</v>
      </c>
      <c r="H40" s="82">
        <v>2399.4299999999998</v>
      </c>
      <c r="I40">
        <f>YEAR(tbl_dashboard_ejm[[#This Row],[Fecha]])</f>
        <v>2021</v>
      </c>
      <c r="J40" t="str">
        <f>TEXT(tbl_dashboard_ejm[[#This Row],[Fecha]],"MMMM")</f>
        <v>enero</v>
      </c>
      <c r="K40">
        <f>WEEKNUM(tbl_dashboard_ejm[[#This Row],[Fecha]],2)</f>
        <v>5</v>
      </c>
    </row>
    <row r="41" spans="2:11" x14ac:dyDescent="0.3">
      <c r="B41" s="67">
        <v>44221</v>
      </c>
      <c r="C41" t="s">
        <v>203</v>
      </c>
      <c r="D41" t="s">
        <v>161</v>
      </c>
      <c r="E41" t="s">
        <v>166</v>
      </c>
      <c r="F41" t="s">
        <v>169</v>
      </c>
      <c r="G41" s="82">
        <v>4790</v>
      </c>
      <c r="H41" s="82">
        <v>1293.3</v>
      </c>
      <c r="I41">
        <f>YEAR(tbl_dashboard_ejm[[#This Row],[Fecha]])</f>
        <v>2021</v>
      </c>
      <c r="J41" t="str">
        <f>TEXT(tbl_dashboard_ejm[[#This Row],[Fecha]],"MMMM")</f>
        <v>enero</v>
      </c>
      <c r="K41">
        <f>WEEKNUM(tbl_dashboard_ejm[[#This Row],[Fecha]],2)</f>
        <v>5</v>
      </c>
    </row>
    <row r="42" spans="2:11" x14ac:dyDescent="0.3">
      <c r="B42" s="67">
        <v>44221</v>
      </c>
      <c r="C42" t="s">
        <v>204</v>
      </c>
      <c r="D42" t="s">
        <v>161</v>
      </c>
      <c r="E42" t="s">
        <v>166</v>
      </c>
      <c r="F42" t="s">
        <v>169</v>
      </c>
      <c r="G42" s="82">
        <v>9643</v>
      </c>
      <c r="H42" s="82">
        <v>3278.62</v>
      </c>
      <c r="I42">
        <f>YEAR(tbl_dashboard_ejm[[#This Row],[Fecha]])</f>
        <v>2021</v>
      </c>
      <c r="J42" t="str">
        <f>TEXT(tbl_dashboard_ejm[[#This Row],[Fecha]],"MMMM")</f>
        <v>enero</v>
      </c>
      <c r="K42">
        <f>WEEKNUM(tbl_dashboard_ejm[[#This Row],[Fecha]],2)</f>
        <v>5</v>
      </c>
    </row>
    <row r="43" spans="2:11" x14ac:dyDescent="0.3">
      <c r="B43" s="67">
        <v>44220</v>
      </c>
      <c r="C43" t="s">
        <v>205</v>
      </c>
      <c r="D43" t="s">
        <v>168</v>
      </c>
      <c r="E43" t="s">
        <v>166</v>
      </c>
      <c r="F43" t="s">
        <v>169</v>
      </c>
      <c r="G43" s="82">
        <v>1894</v>
      </c>
      <c r="H43" s="82">
        <v>700.78</v>
      </c>
      <c r="I43">
        <f>YEAR(tbl_dashboard_ejm[[#This Row],[Fecha]])</f>
        <v>2021</v>
      </c>
      <c r="J43" t="str">
        <f>TEXT(tbl_dashboard_ejm[[#This Row],[Fecha]],"MMMM")</f>
        <v>enero</v>
      </c>
      <c r="K43">
        <f>WEEKNUM(tbl_dashboard_ejm[[#This Row],[Fecha]],2)</f>
        <v>4</v>
      </c>
    </row>
    <row r="44" spans="2:11" x14ac:dyDescent="0.3">
      <c r="B44" s="67">
        <v>44226</v>
      </c>
      <c r="C44" t="s">
        <v>206</v>
      </c>
      <c r="D44" t="s">
        <v>161</v>
      </c>
      <c r="E44" t="s">
        <v>166</v>
      </c>
      <c r="F44" t="s">
        <v>163</v>
      </c>
      <c r="G44" s="82">
        <v>5589</v>
      </c>
      <c r="H44" s="82">
        <v>1285.47</v>
      </c>
      <c r="I44">
        <f>YEAR(tbl_dashboard_ejm[[#This Row],[Fecha]])</f>
        <v>2021</v>
      </c>
      <c r="J44" t="str">
        <f>TEXT(tbl_dashboard_ejm[[#This Row],[Fecha]],"MMMM")</f>
        <v>enero</v>
      </c>
      <c r="K44">
        <f>WEEKNUM(tbl_dashboard_ejm[[#This Row],[Fecha]],2)</f>
        <v>5</v>
      </c>
    </row>
    <row r="45" spans="2:11" x14ac:dyDescent="0.3">
      <c r="B45" s="67">
        <v>44226</v>
      </c>
      <c r="C45" t="s">
        <v>207</v>
      </c>
      <c r="D45" t="s">
        <v>168</v>
      </c>
      <c r="E45" t="s">
        <v>166</v>
      </c>
      <c r="F45" t="s">
        <v>163</v>
      </c>
      <c r="G45" s="82">
        <v>1031</v>
      </c>
      <c r="H45" s="82">
        <v>463.95</v>
      </c>
      <c r="I45">
        <f>YEAR(tbl_dashboard_ejm[[#This Row],[Fecha]])</f>
        <v>2021</v>
      </c>
      <c r="J45" t="str">
        <f>TEXT(tbl_dashboard_ejm[[#This Row],[Fecha]],"MMMM")</f>
        <v>enero</v>
      </c>
      <c r="K45">
        <f>WEEKNUM(tbl_dashboard_ejm[[#This Row],[Fecha]],2)</f>
        <v>5</v>
      </c>
    </row>
    <row r="46" spans="2:11" x14ac:dyDescent="0.3">
      <c r="B46" s="67">
        <v>44226</v>
      </c>
      <c r="C46" t="s">
        <v>208</v>
      </c>
      <c r="D46" t="s">
        <v>168</v>
      </c>
      <c r="E46" t="s">
        <v>166</v>
      </c>
      <c r="F46" t="s">
        <v>169</v>
      </c>
      <c r="G46" s="82">
        <v>4727</v>
      </c>
      <c r="H46" s="82">
        <v>1087.21</v>
      </c>
      <c r="I46">
        <f>YEAR(tbl_dashboard_ejm[[#This Row],[Fecha]])</f>
        <v>2021</v>
      </c>
      <c r="J46" t="str">
        <f>TEXT(tbl_dashboard_ejm[[#This Row],[Fecha]],"MMMM")</f>
        <v>enero</v>
      </c>
      <c r="K46">
        <f>WEEKNUM(tbl_dashboard_ejm[[#This Row],[Fecha]],2)</f>
        <v>5</v>
      </c>
    </row>
    <row r="47" spans="2:11" x14ac:dyDescent="0.3">
      <c r="B47" s="67">
        <v>44226</v>
      </c>
      <c r="C47" t="s">
        <v>209</v>
      </c>
      <c r="D47" t="s">
        <v>168</v>
      </c>
      <c r="E47" t="s">
        <v>162</v>
      </c>
      <c r="F47" t="s">
        <v>169</v>
      </c>
      <c r="G47" s="82">
        <v>1365</v>
      </c>
      <c r="H47" s="82">
        <v>423.15</v>
      </c>
      <c r="I47">
        <f>YEAR(tbl_dashboard_ejm[[#This Row],[Fecha]])</f>
        <v>2021</v>
      </c>
      <c r="J47" t="str">
        <f>TEXT(tbl_dashboard_ejm[[#This Row],[Fecha]],"MMMM")</f>
        <v>enero</v>
      </c>
      <c r="K47">
        <f>WEEKNUM(tbl_dashboard_ejm[[#This Row],[Fecha]],2)</f>
        <v>5</v>
      </c>
    </row>
    <row r="48" spans="2:11" x14ac:dyDescent="0.3">
      <c r="B48" s="67">
        <v>44226</v>
      </c>
      <c r="C48" t="s">
        <v>210</v>
      </c>
      <c r="D48" t="s">
        <v>168</v>
      </c>
      <c r="E48" t="s">
        <v>166</v>
      </c>
      <c r="F48" t="s">
        <v>163</v>
      </c>
      <c r="G48" s="82">
        <v>1369</v>
      </c>
      <c r="H48" s="82">
        <v>260.11</v>
      </c>
      <c r="I48">
        <f>YEAR(tbl_dashboard_ejm[[#This Row],[Fecha]])</f>
        <v>2021</v>
      </c>
      <c r="J48" t="str">
        <f>TEXT(tbl_dashboard_ejm[[#This Row],[Fecha]],"MMMM")</f>
        <v>enero</v>
      </c>
      <c r="K48">
        <f>WEEKNUM(tbl_dashboard_ejm[[#This Row],[Fecha]],2)</f>
        <v>5</v>
      </c>
    </row>
    <row r="49" spans="2:11" x14ac:dyDescent="0.3">
      <c r="B49" s="67">
        <v>44226</v>
      </c>
      <c r="C49" t="s">
        <v>211</v>
      </c>
      <c r="D49" t="s">
        <v>165</v>
      </c>
      <c r="E49" t="s">
        <v>166</v>
      </c>
      <c r="F49" t="s">
        <v>163</v>
      </c>
      <c r="G49" s="82">
        <v>8500</v>
      </c>
      <c r="H49" s="82">
        <v>2210</v>
      </c>
      <c r="I49">
        <f>YEAR(tbl_dashboard_ejm[[#This Row],[Fecha]])</f>
        <v>2021</v>
      </c>
      <c r="J49" t="str">
        <f>TEXT(tbl_dashboard_ejm[[#This Row],[Fecha]],"MMMM")</f>
        <v>enero</v>
      </c>
      <c r="K49">
        <f>WEEKNUM(tbl_dashboard_ejm[[#This Row],[Fecha]],2)</f>
        <v>5</v>
      </c>
    </row>
    <row r="50" spans="2:11" x14ac:dyDescent="0.3">
      <c r="B50" s="67">
        <v>44226</v>
      </c>
      <c r="C50" t="s">
        <v>212</v>
      </c>
      <c r="D50" t="s">
        <v>168</v>
      </c>
      <c r="E50" t="s">
        <v>166</v>
      </c>
      <c r="F50" t="s">
        <v>169</v>
      </c>
      <c r="G50" s="82">
        <v>2387</v>
      </c>
      <c r="H50" s="82">
        <v>954.8</v>
      </c>
      <c r="I50">
        <f>YEAR(tbl_dashboard_ejm[[#This Row],[Fecha]])</f>
        <v>2021</v>
      </c>
      <c r="J50" t="str">
        <f>TEXT(tbl_dashboard_ejm[[#This Row],[Fecha]],"MMMM")</f>
        <v>enero</v>
      </c>
      <c r="K50">
        <f>WEEKNUM(tbl_dashboard_ejm[[#This Row],[Fecha]],2)</f>
        <v>5</v>
      </c>
    </row>
    <row r="51" spans="2:11" x14ac:dyDescent="0.3">
      <c r="B51" s="67">
        <v>44222</v>
      </c>
      <c r="C51" t="s">
        <v>213</v>
      </c>
      <c r="D51" t="s">
        <v>161</v>
      </c>
      <c r="E51" t="s">
        <v>162</v>
      </c>
      <c r="F51" t="s">
        <v>163</v>
      </c>
      <c r="G51" s="82">
        <v>7916</v>
      </c>
      <c r="H51" s="82">
        <v>1820.68</v>
      </c>
      <c r="I51">
        <f>YEAR(tbl_dashboard_ejm[[#This Row],[Fecha]])</f>
        <v>2021</v>
      </c>
      <c r="J51" t="str">
        <f>TEXT(tbl_dashboard_ejm[[#This Row],[Fecha]],"MMMM")</f>
        <v>enero</v>
      </c>
      <c r="K51">
        <f>WEEKNUM(tbl_dashboard_ejm[[#This Row],[Fecha]],2)</f>
        <v>5</v>
      </c>
    </row>
    <row r="52" spans="2:11" x14ac:dyDescent="0.3">
      <c r="B52" s="67">
        <v>44221</v>
      </c>
      <c r="C52" t="s">
        <v>214</v>
      </c>
      <c r="D52" t="s">
        <v>165</v>
      </c>
      <c r="E52" t="s">
        <v>166</v>
      </c>
      <c r="F52" t="s">
        <v>169</v>
      </c>
      <c r="G52" s="82">
        <v>7672</v>
      </c>
      <c r="H52" s="82">
        <v>1611.12</v>
      </c>
      <c r="I52">
        <f>YEAR(tbl_dashboard_ejm[[#This Row],[Fecha]])</f>
        <v>2021</v>
      </c>
      <c r="J52" t="str">
        <f>TEXT(tbl_dashboard_ejm[[#This Row],[Fecha]],"MMMM")</f>
        <v>enero</v>
      </c>
      <c r="K52">
        <f>WEEKNUM(tbl_dashboard_ejm[[#This Row],[Fecha]],2)</f>
        <v>5</v>
      </c>
    </row>
    <row r="53" spans="2:11" x14ac:dyDescent="0.3">
      <c r="B53" s="67">
        <v>44221</v>
      </c>
      <c r="C53" t="s">
        <v>215</v>
      </c>
      <c r="D53" t="s">
        <v>168</v>
      </c>
      <c r="E53" t="s">
        <v>162</v>
      </c>
      <c r="F53" t="s">
        <v>169</v>
      </c>
      <c r="G53" s="82">
        <v>7265</v>
      </c>
      <c r="H53" s="82">
        <v>2688.05</v>
      </c>
      <c r="I53">
        <f>YEAR(tbl_dashboard_ejm[[#This Row],[Fecha]])</f>
        <v>2021</v>
      </c>
      <c r="J53" t="str">
        <f>TEXT(tbl_dashboard_ejm[[#This Row],[Fecha]],"MMMM")</f>
        <v>enero</v>
      </c>
      <c r="K53">
        <f>WEEKNUM(tbl_dashboard_ejm[[#This Row],[Fecha]],2)</f>
        <v>5</v>
      </c>
    </row>
    <row r="54" spans="2:11" x14ac:dyDescent="0.3">
      <c r="B54" s="67">
        <v>44221</v>
      </c>
      <c r="C54" t="s">
        <v>216</v>
      </c>
      <c r="D54" t="s">
        <v>165</v>
      </c>
      <c r="E54" t="s">
        <v>162</v>
      </c>
      <c r="F54" t="s">
        <v>169</v>
      </c>
      <c r="G54" s="82">
        <v>10729</v>
      </c>
      <c r="H54" s="82">
        <v>4077.02</v>
      </c>
      <c r="I54">
        <f>YEAR(tbl_dashboard_ejm[[#This Row],[Fecha]])</f>
        <v>2021</v>
      </c>
      <c r="J54" t="str">
        <f>TEXT(tbl_dashboard_ejm[[#This Row],[Fecha]],"MMMM")</f>
        <v>enero</v>
      </c>
      <c r="K54">
        <f>WEEKNUM(tbl_dashboard_ejm[[#This Row],[Fecha]],2)</f>
        <v>5</v>
      </c>
    </row>
    <row r="55" spans="2:11" x14ac:dyDescent="0.3">
      <c r="B55" s="67">
        <v>44221</v>
      </c>
      <c r="C55" t="s">
        <v>217</v>
      </c>
      <c r="D55" t="s">
        <v>165</v>
      </c>
      <c r="E55" t="s">
        <v>162</v>
      </c>
      <c r="F55" t="s">
        <v>169</v>
      </c>
      <c r="G55" s="82">
        <v>3498</v>
      </c>
      <c r="H55" s="82">
        <v>1014.42</v>
      </c>
      <c r="I55">
        <f>YEAR(tbl_dashboard_ejm[[#This Row],[Fecha]])</f>
        <v>2021</v>
      </c>
      <c r="J55" t="str">
        <f>TEXT(tbl_dashboard_ejm[[#This Row],[Fecha]],"MMMM")</f>
        <v>enero</v>
      </c>
      <c r="K55">
        <f>WEEKNUM(tbl_dashboard_ejm[[#This Row],[Fecha]],2)</f>
        <v>5</v>
      </c>
    </row>
    <row r="56" spans="2:11" x14ac:dyDescent="0.3">
      <c r="B56" s="67">
        <v>44251</v>
      </c>
      <c r="C56" t="s">
        <v>160</v>
      </c>
      <c r="D56" t="s">
        <v>165</v>
      </c>
      <c r="E56" t="s">
        <v>166</v>
      </c>
      <c r="F56" t="s">
        <v>169</v>
      </c>
      <c r="G56" s="82">
        <v>2602</v>
      </c>
      <c r="H56" s="82">
        <v>702.54</v>
      </c>
      <c r="I56">
        <f>YEAR(tbl_dashboard_ejm[[#This Row],[Fecha]])</f>
        <v>2021</v>
      </c>
      <c r="J56" t="str">
        <f>TEXT(tbl_dashboard_ejm[[#This Row],[Fecha]],"MMMM")</f>
        <v>febrero</v>
      </c>
      <c r="K56">
        <f>WEEKNUM(tbl_dashboard_ejm[[#This Row],[Fecha]],2)</f>
        <v>9</v>
      </c>
    </row>
    <row r="57" spans="2:11" x14ac:dyDescent="0.3">
      <c r="B57" s="67">
        <v>44251</v>
      </c>
      <c r="C57" t="s">
        <v>164</v>
      </c>
      <c r="D57" t="s">
        <v>161</v>
      </c>
      <c r="E57" t="s">
        <v>166</v>
      </c>
      <c r="F57" t="s">
        <v>163</v>
      </c>
      <c r="G57" s="82">
        <v>9567</v>
      </c>
      <c r="H57" s="82">
        <v>3348.45</v>
      </c>
      <c r="I57">
        <f>YEAR(tbl_dashboard_ejm[[#This Row],[Fecha]])</f>
        <v>2021</v>
      </c>
      <c r="J57" t="str">
        <f>TEXT(tbl_dashboard_ejm[[#This Row],[Fecha]],"MMMM")</f>
        <v>febrero</v>
      </c>
      <c r="K57">
        <f>WEEKNUM(tbl_dashboard_ejm[[#This Row],[Fecha]],2)</f>
        <v>9</v>
      </c>
    </row>
    <row r="58" spans="2:11" x14ac:dyDescent="0.3">
      <c r="B58" s="67">
        <v>44251</v>
      </c>
      <c r="C58" t="s">
        <v>167</v>
      </c>
      <c r="D58" t="s">
        <v>165</v>
      </c>
      <c r="E58" t="s">
        <v>162</v>
      </c>
      <c r="F58" t="s">
        <v>163</v>
      </c>
      <c r="G58" s="82">
        <v>10610</v>
      </c>
      <c r="H58" s="82">
        <v>1591.5</v>
      </c>
      <c r="I58">
        <f>YEAR(tbl_dashboard_ejm[[#This Row],[Fecha]])</f>
        <v>2021</v>
      </c>
      <c r="J58" t="str">
        <f>TEXT(tbl_dashboard_ejm[[#This Row],[Fecha]],"MMMM")</f>
        <v>febrero</v>
      </c>
      <c r="K58">
        <f>WEEKNUM(tbl_dashboard_ejm[[#This Row],[Fecha]],2)</f>
        <v>9</v>
      </c>
    </row>
    <row r="59" spans="2:11" x14ac:dyDescent="0.3">
      <c r="B59" s="67">
        <v>44251</v>
      </c>
      <c r="C59" t="s">
        <v>170</v>
      </c>
      <c r="D59" t="s">
        <v>168</v>
      </c>
      <c r="E59" t="s">
        <v>166</v>
      </c>
      <c r="F59" t="s">
        <v>169</v>
      </c>
      <c r="G59" s="82">
        <v>10303</v>
      </c>
      <c r="H59" s="82">
        <v>4636.3500000000004</v>
      </c>
      <c r="I59">
        <f>YEAR(tbl_dashboard_ejm[[#This Row],[Fecha]])</f>
        <v>2021</v>
      </c>
      <c r="J59" t="str">
        <f>TEXT(tbl_dashboard_ejm[[#This Row],[Fecha]],"MMMM")</f>
        <v>febrero</v>
      </c>
      <c r="K59">
        <f>WEEKNUM(tbl_dashboard_ejm[[#This Row],[Fecha]],2)</f>
        <v>9</v>
      </c>
    </row>
    <row r="60" spans="2:11" x14ac:dyDescent="0.3">
      <c r="B60" s="67">
        <v>44251</v>
      </c>
      <c r="C60" t="s">
        <v>171</v>
      </c>
      <c r="D60" t="s">
        <v>161</v>
      </c>
      <c r="E60" t="s">
        <v>166</v>
      </c>
      <c r="F60" t="s">
        <v>169</v>
      </c>
      <c r="G60" s="82">
        <v>9287</v>
      </c>
      <c r="H60" s="82">
        <v>3529.06</v>
      </c>
      <c r="I60">
        <f>YEAR(tbl_dashboard_ejm[[#This Row],[Fecha]])</f>
        <v>2021</v>
      </c>
      <c r="J60" t="str">
        <f>TEXT(tbl_dashboard_ejm[[#This Row],[Fecha]],"MMMM")</f>
        <v>febrero</v>
      </c>
      <c r="K60">
        <f>WEEKNUM(tbl_dashboard_ejm[[#This Row],[Fecha]],2)</f>
        <v>9</v>
      </c>
    </row>
    <row r="61" spans="2:11" x14ac:dyDescent="0.3">
      <c r="B61" s="67">
        <v>44251</v>
      </c>
      <c r="C61" t="s">
        <v>172</v>
      </c>
      <c r="D61" t="s">
        <v>165</v>
      </c>
      <c r="E61" t="s">
        <v>166</v>
      </c>
      <c r="F61" t="s">
        <v>163</v>
      </c>
      <c r="G61" s="82">
        <v>10734</v>
      </c>
      <c r="H61" s="82">
        <v>1610.1</v>
      </c>
      <c r="I61">
        <f>YEAR(tbl_dashboard_ejm[[#This Row],[Fecha]])</f>
        <v>2021</v>
      </c>
      <c r="J61" t="str">
        <f>TEXT(tbl_dashboard_ejm[[#This Row],[Fecha]],"MMMM")</f>
        <v>febrero</v>
      </c>
      <c r="K61">
        <f>WEEKNUM(tbl_dashboard_ejm[[#This Row],[Fecha]],2)</f>
        <v>9</v>
      </c>
    </row>
    <row r="62" spans="2:11" x14ac:dyDescent="0.3">
      <c r="B62" s="67">
        <v>44251</v>
      </c>
      <c r="C62" t="s">
        <v>173</v>
      </c>
      <c r="D62" t="s">
        <v>168</v>
      </c>
      <c r="E62" t="s">
        <v>162</v>
      </c>
      <c r="F62" t="s">
        <v>163</v>
      </c>
      <c r="G62" s="82">
        <v>11053</v>
      </c>
      <c r="H62" s="82">
        <v>2210.6</v>
      </c>
      <c r="I62">
        <f>YEAR(tbl_dashboard_ejm[[#This Row],[Fecha]])</f>
        <v>2021</v>
      </c>
      <c r="J62" t="str">
        <f>TEXT(tbl_dashboard_ejm[[#This Row],[Fecha]],"MMMM")</f>
        <v>febrero</v>
      </c>
      <c r="K62">
        <f>WEEKNUM(tbl_dashboard_ejm[[#This Row],[Fecha]],2)</f>
        <v>9</v>
      </c>
    </row>
    <row r="63" spans="2:11" x14ac:dyDescent="0.3">
      <c r="B63" s="67">
        <v>44251</v>
      </c>
      <c r="C63" t="s">
        <v>174</v>
      </c>
      <c r="D63" t="s">
        <v>168</v>
      </c>
      <c r="E63" t="s">
        <v>162</v>
      </c>
      <c r="F63" t="s">
        <v>169</v>
      </c>
      <c r="G63" s="82">
        <v>11900</v>
      </c>
      <c r="H63" s="82">
        <v>2261</v>
      </c>
      <c r="I63">
        <f>YEAR(tbl_dashboard_ejm[[#This Row],[Fecha]])</f>
        <v>2021</v>
      </c>
      <c r="J63" t="str">
        <f>TEXT(tbl_dashboard_ejm[[#This Row],[Fecha]],"MMMM")</f>
        <v>febrero</v>
      </c>
      <c r="K63">
        <f>WEEKNUM(tbl_dashboard_ejm[[#This Row],[Fecha]],2)</f>
        <v>9</v>
      </c>
    </row>
    <row r="64" spans="2:11" x14ac:dyDescent="0.3">
      <c r="B64" s="67">
        <v>44251</v>
      </c>
      <c r="C64" t="s">
        <v>175</v>
      </c>
      <c r="D64" t="s">
        <v>165</v>
      </c>
      <c r="E64" t="s">
        <v>166</v>
      </c>
      <c r="F64" t="s">
        <v>163</v>
      </c>
      <c r="G64" s="82">
        <v>7909</v>
      </c>
      <c r="H64" s="82">
        <v>1898.16</v>
      </c>
      <c r="I64">
        <f>YEAR(tbl_dashboard_ejm[[#This Row],[Fecha]])</f>
        <v>2021</v>
      </c>
      <c r="J64" t="str">
        <f>TEXT(tbl_dashboard_ejm[[#This Row],[Fecha]],"MMMM")</f>
        <v>febrero</v>
      </c>
      <c r="K64">
        <f>WEEKNUM(tbl_dashboard_ejm[[#This Row],[Fecha]],2)</f>
        <v>9</v>
      </c>
    </row>
    <row r="65" spans="2:11" x14ac:dyDescent="0.3">
      <c r="B65" s="67">
        <v>44251</v>
      </c>
      <c r="C65" t="s">
        <v>176</v>
      </c>
      <c r="D65" t="s">
        <v>165</v>
      </c>
      <c r="E65" t="s">
        <v>166</v>
      </c>
      <c r="F65" t="s">
        <v>169</v>
      </c>
      <c r="G65" s="82">
        <v>1468</v>
      </c>
      <c r="H65" s="82">
        <v>528.48</v>
      </c>
      <c r="I65">
        <f>YEAR(tbl_dashboard_ejm[[#This Row],[Fecha]])</f>
        <v>2021</v>
      </c>
      <c r="J65" t="str">
        <f>TEXT(tbl_dashboard_ejm[[#This Row],[Fecha]],"MMMM")</f>
        <v>febrero</v>
      </c>
      <c r="K65">
        <f>WEEKNUM(tbl_dashboard_ejm[[#This Row],[Fecha]],2)</f>
        <v>9</v>
      </c>
    </row>
    <row r="66" spans="2:11" x14ac:dyDescent="0.3">
      <c r="B66" s="67">
        <v>44251</v>
      </c>
      <c r="C66" t="s">
        <v>177</v>
      </c>
      <c r="D66" t="s">
        <v>165</v>
      </c>
      <c r="E66" t="s">
        <v>162</v>
      </c>
      <c r="F66" t="s">
        <v>169</v>
      </c>
      <c r="G66" s="82">
        <v>1782</v>
      </c>
      <c r="H66" s="82">
        <v>392.04</v>
      </c>
      <c r="I66">
        <f>YEAR(tbl_dashboard_ejm[[#This Row],[Fecha]])</f>
        <v>2021</v>
      </c>
      <c r="J66" t="str">
        <f>TEXT(tbl_dashboard_ejm[[#This Row],[Fecha]],"MMMM")</f>
        <v>febrero</v>
      </c>
      <c r="K66">
        <f>WEEKNUM(tbl_dashboard_ejm[[#This Row],[Fecha]],2)</f>
        <v>9</v>
      </c>
    </row>
    <row r="67" spans="2:11" x14ac:dyDescent="0.3">
      <c r="B67" s="67">
        <v>44251</v>
      </c>
      <c r="C67" t="s">
        <v>178</v>
      </c>
      <c r="D67" t="s">
        <v>161</v>
      </c>
      <c r="E67" t="s">
        <v>162</v>
      </c>
      <c r="F67" t="s">
        <v>169</v>
      </c>
      <c r="G67" s="82">
        <v>8014</v>
      </c>
      <c r="H67" s="82">
        <v>1362.38</v>
      </c>
      <c r="I67">
        <f>YEAR(tbl_dashboard_ejm[[#This Row],[Fecha]])</f>
        <v>2021</v>
      </c>
      <c r="J67" t="str">
        <f>TEXT(tbl_dashboard_ejm[[#This Row],[Fecha]],"MMMM")</f>
        <v>febrero</v>
      </c>
      <c r="K67">
        <f>WEEKNUM(tbl_dashboard_ejm[[#This Row],[Fecha]],2)</f>
        <v>9</v>
      </c>
    </row>
    <row r="68" spans="2:11" x14ac:dyDescent="0.3">
      <c r="B68" s="67">
        <v>44251</v>
      </c>
      <c r="C68" t="s">
        <v>179</v>
      </c>
      <c r="D68" t="s">
        <v>165</v>
      </c>
      <c r="E68" t="s">
        <v>162</v>
      </c>
      <c r="F68" t="s">
        <v>169</v>
      </c>
      <c r="G68" s="82">
        <v>10593</v>
      </c>
      <c r="H68" s="82">
        <v>4237.2</v>
      </c>
      <c r="I68">
        <f>YEAR(tbl_dashboard_ejm[[#This Row],[Fecha]])</f>
        <v>2021</v>
      </c>
      <c r="J68" t="str">
        <f>TEXT(tbl_dashboard_ejm[[#This Row],[Fecha]],"MMMM")</f>
        <v>febrero</v>
      </c>
      <c r="K68">
        <f>WEEKNUM(tbl_dashboard_ejm[[#This Row],[Fecha]],2)</f>
        <v>9</v>
      </c>
    </row>
    <row r="69" spans="2:11" x14ac:dyDescent="0.3">
      <c r="B69" s="67">
        <v>44251</v>
      </c>
      <c r="C69" t="s">
        <v>180</v>
      </c>
      <c r="D69" t="s">
        <v>165</v>
      </c>
      <c r="E69" t="s">
        <v>162</v>
      </c>
      <c r="F69" t="s">
        <v>169</v>
      </c>
      <c r="G69" s="82">
        <v>6084</v>
      </c>
      <c r="H69" s="82">
        <v>1095.1199999999999</v>
      </c>
      <c r="I69">
        <f>YEAR(tbl_dashboard_ejm[[#This Row],[Fecha]])</f>
        <v>2021</v>
      </c>
      <c r="J69" t="str">
        <f>TEXT(tbl_dashboard_ejm[[#This Row],[Fecha]],"MMMM")</f>
        <v>febrero</v>
      </c>
      <c r="K69">
        <f>WEEKNUM(tbl_dashboard_ejm[[#This Row],[Fecha]],2)</f>
        <v>9</v>
      </c>
    </row>
    <row r="70" spans="2:11" x14ac:dyDescent="0.3">
      <c r="B70" s="67">
        <v>44251</v>
      </c>
      <c r="C70" t="s">
        <v>181</v>
      </c>
      <c r="D70" t="s">
        <v>168</v>
      </c>
      <c r="E70" t="s">
        <v>162</v>
      </c>
      <c r="F70" t="s">
        <v>163</v>
      </c>
      <c r="G70" s="82">
        <v>2524</v>
      </c>
      <c r="H70" s="82">
        <v>631</v>
      </c>
      <c r="I70">
        <f>YEAR(tbl_dashboard_ejm[[#This Row],[Fecha]])</f>
        <v>2021</v>
      </c>
      <c r="J70" t="str">
        <f>TEXT(tbl_dashboard_ejm[[#This Row],[Fecha]],"MMMM")</f>
        <v>febrero</v>
      </c>
      <c r="K70">
        <f>WEEKNUM(tbl_dashboard_ejm[[#This Row],[Fecha]],2)</f>
        <v>9</v>
      </c>
    </row>
    <row r="71" spans="2:11" x14ac:dyDescent="0.3">
      <c r="B71" s="67">
        <v>44251</v>
      </c>
      <c r="C71" t="s">
        <v>182</v>
      </c>
      <c r="D71" t="s">
        <v>165</v>
      </c>
      <c r="E71" t="s">
        <v>166</v>
      </c>
      <c r="F71" t="s">
        <v>163</v>
      </c>
      <c r="G71" s="82">
        <v>4704</v>
      </c>
      <c r="H71" s="82">
        <v>1552.32</v>
      </c>
      <c r="I71">
        <f>YEAR(tbl_dashboard_ejm[[#This Row],[Fecha]])</f>
        <v>2021</v>
      </c>
      <c r="J71" t="str">
        <f>TEXT(tbl_dashboard_ejm[[#This Row],[Fecha]],"MMMM")</f>
        <v>febrero</v>
      </c>
      <c r="K71">
        <f>WEEKNUM(tbl_dashboard_ejm[[#This Row],[Fecha]],2)</f>
        <v>9</v>
      </c>
    </row>
    <row r="72" spans="2:11" x14ac:dyDescent="0.3">
      <c r="B72" s="67">
        <v>44251</v>
      </c>
      <c r="C72" t="s">
        <v>183</v>
      </c>
      <c r="D72" t="s">
        <v>161</v>
      </c>
      <c r="E72" t="s">
        <v>162</v>
      </c>
      <c r="F72" t="s">
        <v>169</v>
      </c>
      <c r="G72" s="82">
        <v>4705</v>
      </c>
      <c r="H72" s="82">
        <v>1223.3</v>
      </c>
      <c r="I72">
        <f>YEAR(tbl_dashboard_ejm[[#This Row],[Fecha]])</f>
        <v>2021</v>
      </c>
      <c r="J72" t="str">
        <f>TEXT(tbl_dashboard_ejm[[#This Row],[Fecha]],"MMMM")</f>
        <v>febrero</v>
      </c>
      <c r="K72">
        <f>WEEKNUM(tbl_dashboard_ejm[[#This Row],[Fecha]],2)</f>
        <v>9</v>
      </c>
    </row>
    <row r="73" spans="2:11" x14ac:dyDescent="0.3">
      <c r="B73" s="67">
        <v>44251</v>
      </c>
      <c r="C73" t="s">
        <v>184</v>
      </c>
      <c r="D73" t="s">
        <v>161</v>
      </c>
      <c r="E73" t="s">
        <v>162</v>
      </c>
      <c r="F73" t="s">
        <v>169</v>
      </c>
      <c r="G73" s="82">
        <v>1344</v>
      </c>
      <c r="H73" s="82">
        <v>268.8</v>
      </c>
      <c r="I73">
        <f>YEAR(tbl_dashboard_ejm[[#This Row],[Fecha]])</f>
        <v>2021</v>
      </c>
      <c r="J73" t="str">
        <f>TEXT(tbl_dashboard_ejm[[#This Row],[Fecha]],"MMMM")</f>
        <v>febrero</v>
      </c>
      <c r="K73">
        <f>WEEKNUM(tbl_dashboard_ejm[[#This Row],[Fecha]],2)</f>
        <v>9</v>
      </c>
    </row>
    <row r="74" spans="2:11" x14ac:dyDescent="0.3">
      <c r="B74" s="67">
        <v>44251</v>
      </c>
      <c r="C74" t="s">
        <v>185</v>
      </c>
      <c r="D74" t="s">
        <v>161</v>
      </c>
      <c r="E74" t="s">
        <v>166</v>
      </c>
      <c r="F74" t="s">
        <v>163</v>
      </c>
      <c r="G74" s="82">
        <v>8373</v>
      </c>
      <c r="H74" s="82">
        <v>2763.09</v>
      </c>
      <c r="I74">
        <f>YEAR(tbl_dashboard_ejm[[#This Row],[Fecha]])</f>
        <v>2021</v>
      </c>
      <c r="J74" t="str">
        <f>TEXT(tbl_dashboard_ejm[[#This Row],[Fecha]],"MMMM")</f>
        <v>febrero</v>
      </c>
      <c r="K74">
        <f>WEEKNUM(tbl_dashboard_ejm[[#This Row],[Fecha]],2)</f>
        <v>9</v>
      </c>
    </row>
    <row r="75" spans="2:11" x14ac:dyDescent="0.3">
      <c r="B75" s="67">
        <v>44251</v>
      </c>
      <c r="C75" t="s">
        <v>186</v>
      </c>
      <c r="D75" t="s">
        <v>168</v>
      </c>
      <c r="E75" t="s">
        <v>162</v>
      </c>
      <c r="F75" t="s">
        <v>163</v>
      </c>
      <c r="G75" s="82">
        <v>8725</v>
      </c>
      <c r="H75" s="82">
        <v>3926.25</v>
      </c>
      <c r="I75">
        <f>YEAR(tbl_dashboard_ejm[[#This Row],[Fecha]])</f>
        <v>2021</v>
      </c>
      <c r="J75" t="str">
        <f>TEXT(tbl_dashboard_ejm[[#This Row],[Fecha]],"MMMM")</f>
        <v>febrero</v>
      </c>
      <c r="K75">
        <f>WEEKNUM(tbl_dashboard_ejm[[#This Row],[Fecha]],2)</f>
        <v>9</v>
      </c>
    </row>
    <row r="76" spans="2:11" x14ac:dyDescent="0.3">
      <c r="B76" s="67">
        <v>44251</v>
      </c>
      <c r="C76" t="s">
        <v>187</v>
      </c>
      <c r="D76" t="s">
        <v>161</v>
      </c>
      <c r="E76" t="s">
        <v>166</v>
      </c>
      <c r="F76" t="s">
        <v>169</v>
      </c>
      <c r="G76" s="82">
        <v>2271</v>
      </c>
      <c r="H76" s="82">
        <v>704.01</v>
      </c>
      <c r="I76">
        <f>YEAR(tbl_dashboard_ejm[[#This Row],[Fecha]])</f>
        <v>2021</v>
      </c>
      <c r="J76" t="str">
        <f>TEXT(tbl_dashboard_ejm[[#This Row],[Fecha]],"MMMM")</f>
        <v>febrero</v>
      </c>
      <c r="K76">
        <f>WEEKNUM(tbl_dashboard_ejm[[#This Row],[Fecha]],2)</f>
        <v>9</v>
      </c>
    </row>
    <row r="77" spans="2:11" x14ac:dyDescent="0.3">
      <c r="B77" s="67">
        <v>44251</v>
      </c>
      <c r="C77" t="s">
        <v>188</v>
      </c>
      <c r="D77" t="s">
        <v>161</v>
      </c>
      <c r="E77" t="s">
        <v>162</v>
      </c>
      <c r="F77" t="s">
        <v>163</v>
      </c>
      <c r="G77" s="82">
        <v>2395</v>
      </c>
      <c r="H77" s="82">
        <v>407.15</v>
      </c>
      <c r="I77">
        <f>YEAR(tbl_dashboard_ejm[[#This Row],[Fecha]])</f>
        <v>2021</v>
      </c>
      <c r="J77" t="str">
        <f>TEXT(tbl_dashboard_ejm[[#This Row],[Fecha]],"MMMM")</f>
        <v>febrero</v>
      </c>
      <c r="K77">
        <f>WEEKNUM(tbl_dashboard_ejm[[#This Row],[Fecha]],2)</f>
        <v>9</v>
      </c>
    </row>
    <row r="78" spans="2:11" x14ac:dyDescent="0.3">
      <c r="B78" s="67">
        <v>44251</v>
      </c>
      <c r="C78" t="s">
        <v>189</v>
      </c>
      <c r="D78" t="s">
        <v>168</v>
      </c>
      <c r="E78" t="s">
        <v>162</v>
      </c>
      <c r="F78" t="s">
        <v>169</v>
      </c>
      <c r="G78" s="82">
        <v>2923</v>
      </c>
      <c r="H78" s="82">
        <v>964.59</v>
      </c>
      <c r="I78">
        <f>YEAR(tbl_dashboard_ejm[[#This Row],[Fecha]])</f>
        <v>2021</v>
      </c>
      <c r="J78" t="str">
        <f>TEXT(tbl_dashboard_ejm[[#This Row],[Fecha]],"MMMM")</f>
        <v>febrero</v>
      </c>
      <c r="K78">
        <f>WEEKNUM(tbl_dashboard_ejm[[#This Row],[Fecha]],2)</f>
        <v>9</v>
      </c>
    </row>
    <row r="79" spans="2:11" x14ac:dyDescent="0.3">
      <c r="B79" s="67">
        <v>44251</v>
      </c>
      <c r="C79" t="s">
        <v>190</v>
      </c>
      <c r="D79" t="s">
        <v>161</v>
      </c>
      <c r="E79" t="s">
        <v>162</v>
      </c>
      <c r="F79" t="s">
        <v>169</v>
      </c>
      <c r="G79" s="82">
        <v>9310</v>
      </c>
      <c r="H79" s="82">
        <v>2513.6999999999998</v>
      </c>
      <c r="I79">
        <f>YEAR(tbl_dashboard_ejm[[#This Row],[Fecha]])</f>
        <v>2021</v>
      </c>
      <c r="J79" t="str">
        <f>TEXT(tbl_dashboard_ejm[[#This Row],[Fecha]],"MMMM")</f>
        <v>febrero</v>
      </c>
      <c r="K79">
        <f>WEEKNUM(tbl_dashboard_ejm[[#This Row],[Fecha]],2)</f>
        <v>9</v>
      </c>
    </row>
    <row r="80" spans="2:11" x14ac:dyDescent="0.3">
      <c r="B80" s="67">
        <v>44251</v>
      </c>
      <c r="C80" t="s">
        <v>191</v>
      </c>
      <c r="D80" t="s">
        <v>168</v>
      </c>
      <c r="E80" t="s">
        <v>162</v>
      </c>
      <c r="F80" t="s">
        <v>169</v>
      </c>
      <c r="G80" s="82">
        <v>3711</v>
      </c>
      <c r="H80" s="82">
        <v>1187.52</v>
      </c>
      <c r="I80">
        <f>YEAR(tbl_dashboard_ejm[[#This Row],[Fecha]])</f>
        <v>2021</v>
      </c>
      <c r="J80" t="str">
        <f>TEXT(tbl_dashboard_ejm[[#This Row],[Fecha]],"MMMM")</f>
        <v>febrero</v>
      </c>
      <c r="K80">
        <f>WEEKNUM(tbl_dashboard_ejm[[#This Row],[Fecha]],2)</f>
        <v>9</v>
      </c>
    </row>
    <row r="81" spans="2:11" x14ac:dyDescent="0.3">
      <c r="B81" s="67">
        <v>44251</v>
      </c>
      <c r="C81" t="s">
        <v>192</v>
      </c>
      <c r="D81" t="s">
        <v>168</v>
      </c>
      <c r="E81" t="s">
        <v>166</v>
      </c>
      <c r="F81" t="s">
        <v>169</v>
      </c>
      <c r="G81" s="82">
        <v>3495</v>
      </c>
      <c r="H81" s="82">
        <v>1398</v>
      </c>
      <c r="I81">
        <f>YEAR(tbl_dashboard_ejm[[#This Row],[Fecha]])</f>
        <v>2021</v>
      </c>
      <c r="J81" t="str">
        <f>TEXT(tbl_dashboard_ejm[[#This Row],[Fecha]],"MMMM")</f>
        <v>febrero</v>
      </c>
      <c r="K81">
        <f>WEEKNUM(tbl_dashboard_ejm[[#This Row],[Fecha]],2)</f>
        <v>9</v>
      </c>
    </row>
    <row r="82" spans="2:11" x14ac:dyDescent="0.3">
      <c r="B82" s="67">
        <v>44251</v>
      </c>
      <c r="C82" t="s">
        <v>193</v>
      </c>
      <c r="D82" t="s">
        <v>168</v>
      </c>
      <c r="E82" t="s">
        <v>162</v>
      </c>
      <c r="F82" t="s">
        <v>169</v>
      </c>
      <c r="G82" s="82">
        <v>3336</v>
      </c>
      <c r="H82" s="82">
        <v>1301.04</v>
      </c>
      <c r="I82">
        <f>YEAR(tbl_dashboard_ejm[[#This Row],[Fecha]])</f>
        <v>2021</v>
      </c>
      <c r="J82" t="str">
        <f>TEXT(tbl_dashboard_ejm[[#This Row],[Fecha]],"MMMM")</f>
        <v>febrero</v>
      </c>
      <c r="K82">
        <f>WEEKNUM(tbl_dashboard_ejm[[#This Row],[Fecha]],2)</f>
        <v>9</v>
      </c>
    </row>
    <row r="83" spans="2:11" x14ac:dyDescent="0.3">
      <c r="B83" s="67">
        <v>44251</v>
      </c>
      <c r="C83" t="s">
        <v>194</v>
      </c>
      <c r="D83" t="s">
        <v>168</v>
      </c>
      <c r="E83" t="s">
        <v>166</v>
      </c>
      <c r="F83" t="s">
        <v>163</v>
      </c>
      <c r="G83" s="82">
        <v>1168</v>
      </c>
      <c r="H83" s="82">
        <v>490.56</v>
      </c>
      <c r="I83">
        <f>YEAR(tbl_dashboard_ejm[[#This Row],[Fecha]])</f>
        <v>2021</v>
      </c>
      <c r="J83" t="str">
        <f>TEXT(tbl_dashboard_ejm[[#This Row],[Fecha]],"MMMM")</f>
        <v>febrero</v>
      </c>
      <c r="K83">
        <f>WEEKNUM(tbl_dashboard_ejm[[#This Row],[Fecha]],2)</f>
        <v>9</v>
      </c>
    </row>
    <row r="84" spans="2:11" x14ac:dyDescent="0.3">
      <c r="B84" s="67">
        <v>44251</v>
      </c>
      <c r="C84" t="s">
        <v>195</v>
      </c>
      <c r="D84" t="s">
        <v>165</v>
      </c>
      <c r="E84" t="s">
        <v>162</v>
      </c>
      <c r="F84" t="s">
        <v>163</v>
      </c>
      <c r="G84" s="82">
        <v>1490</v>
      </c>
      <c r="H84" s="82">
        <v>655.6</v>
      </c>
      <c r="I84">
        <f>YEAR(tbl_dashboard_ejm[[#This Row],[Fecha]])</f>
        <v>2021</v>
      </c>
      <c r="J84" t="str">
        <f>TEXT(tbl_dashboard_ejm[[#This Row],[Fecha]],"MMMM")</f>
        <v>febrero</v>
      </c>
      <c r="K84">
        <f>WEEKNUM(tbl_dashboard_ejm[[#This Row],[Fecha]],2)</f>
        <v>9</v>
      </c>
    </row>
    <row r="85" spans="2:11" x14ac:dyDescent="0.3">
      <c r="B85" s="67">
        <v>44251</v>
      </c>
      <c r="C85" t="s">
        <v>196</v>
      </c>
      <c r="D85" t="s">
        <v>168</v>
      </c>
      <c r="E85" t="s">
        <v>166</v>
      </c>
      <c r="F85" t="s">
        <v>169</v>
      </c>
      <c r="G85" s="82">
        <v>4726</v>
      </c>
      <c r="H85" s="82">
        <v>756.16</v>
      </c>
      <c r="I85">
        <f>YEAR(tbl_dashboard_ejm[[#This Row],[Fecha]])</f>
        <v>2021</v>
      </c>
      <c r="J85" t="str">
        <f>TEXT(tbl_dashboard_ejm[[#This Row],[Fecha]],"MMMM")</f>
        <v>febrero</v>
      </c>
      <c r="K85">
        <f>WEEKNUM(tbl_dashboard_ejm[[#This Row],[Fecha]],2)</f>
        <v>9</v>
      </c>
    </row>
    <row r="86" spans="2:11" x14ac:dyDescent="0.3">
      <c r="B86" s="67">
        <v>44251</v>
      </c>
      <c r="C86" t="s">
        <v>197</v>
      </c>
      <c r="D86" t="s">
        <v>161</v>
      </c>
      <c r="E86" t="s">
        <v>162</v>
      </c>
      <c r="F86" t="s">
        <v>169</v>
      </c>
      <c r="G86" s="82">
        <v>10940</v>
      </c>
      <c r="H86" s="82">
        <v>2406.8000000000002</v>
      </c>
      <c r="I86">
        <f>YEAR(tbl_dashboard_ejm[[#This Row],[Fecha]])</f>
        <v>2021</v>
      </c>
      <c r="J86" t="str">
        <f>TEXT(tbl_dashboard_ejm[[#This Row],[Fecha]],"MMMM")</f>
        <v>febrero</v>
      </c>
      <c r="K86">
        <f>WEEKNUM(tbl_dashboard_ejm[[#This Row],[Fecha]],2)</f>
        <v>9</v>
      </c>
    </row>
    <row r="87" spans="2:11" x14ac:dyDescent="0.3">
      <c r="B87" s="67">
        <v>44251</v>
      </c>
      <c r="C87" t="s">
        <v>198</v>
      </c>
      <c r="D87" t="s">
        <v>165</v>
      </c>
      <c r="E87" t="s">
        <v>166</v>
      </c>
      <c r="F87" t="s">
        <v>163</v>
      </c>
      <c r="G87" s="82">
        <v>2749</v>
      </c>
      <c r="H87" s="82">
        <v>769.72</v>
      </c>
      <c r="I87">
        <f>YEAR(tbl_dashboard_ejm[[#This Row],[Fecha]])</f>
        <v>2021</v>
      </c>
      <c r="J87" t="str">
        <f>TEXT(tbl_dashboard_ejm[[#This Row],[Fecha]],"MMMM")</f>
        <v>febrero</v>
      </c>
      <c r="K87">
        <f>WEEKNUM(tbl_dashboard_ejm[[#This Row],[Fecha]],2)</f>
        <v>9</v>
      </c>
    </row>
    <row r="88" spans="2:11" x14ac:dyDescent="0.3">
      <c r="B88" s="67">
        <v>44251</v>
      </c>
      <c r="C88" t="s">
        <v>199</v>
      </c>
      <c r="D88" t="s">
        <v>168</v>
      </c>
      <c r="E88" t="s">
        <v>162</v>
      </c>
      <c r="F88" t="s">
        <v>163</v>
      </c>
      <c r="G88" s="82">
        <v>1771</v>
      </c>
      <c r="H88" s="82">
        <v>619.85</v>
      </c>
      <c r="I88">
        <f>YEAR(tbl_dashboard_ejm[[#This Row],[Fecha]])</f>
        <v>2021</v>
      </c>
      <c r="J88" t="str">
        <f>TEXT(tbl_dashboard_ejm[[#This Row],[Fecha]],"MMMM")</f>
        <v>febrero</v>
      </c>
      <c r="K88">
        <f>WEEKNUM(tbl_dashboard_ejm[[#This Row],[Fecha]],2)</f>
        <v>9</v>
      </c>
    </row>
    <row r="89" spans="2:11" x14ac:dyDescent="0.3">
      <c r="B89" s="67">
        <v>44285</v>
      </c>
      <c r="C89" t="s">
        <v>160</v>
      </c>
      <c r="D89" t="s">
        <v>165</v>
      </c>
      <c r="E89" t="s">
        <v>162</v>
      </c>
      <c r="F89" t="s">
        <v>169</v>
      </c>
      <c r="G89" s="82">
        <v>4311</v>
      </c>
      <c r="H89" s="82">
        <v>1681.29</v>
      </c>
      <c r="I89">
        <f>YEAR(tbl_dashboard_ejm[[#This Row],[Fecha]])</f>
        <v>2021</v>
      </c>
      <c r="J89" t="str">
        <f>TEXT(tbl_dashboard_ejm[[#This Row],[Fecha]],"MMMM")</f>
        <v>marzo</v>
      </c>
      <c r="K89">
        <f>WEEKNUM(tbl_dashboard_ejm[[#This Row],[Fecha]],2)</f>
        <v>14</v>
      </c>
    </row>
    <row r="90" spans="2:11" x14ac:dyDescent="0.3">
      <c r="B90" s="67">
        <v>44281</v>
      </c>
      <c r="C90" t="s">
        <v>164</v>
      </c>
      <c r="D90" t="s">
        <v>165</v>
      </c>
      <c r="E90" t="s">
        <v>166</v>
      </c>
      <c r="F90" t="s">
        <v>163</v>
      </c>
      <c r="G90" s="82">
        <v>4502</v>
      </c>
      <c r="H90" s="82">
        <v>2025.9</v>
      </c>
      <c r="I90">
        <f>YEAR(tbl_dashboard_ejm[[#This Row],[Fecha]])</f>
        <v>2021</v>
      </c>
      <c r="J90" t="str">
        <f>TEXT(tbl_dashboard_ejm[[#This Row],[Fecha]],"MMMM")</f>
        <v>marzo</v>
      </c>
      <c r="K90">
        <f>WEEKNUM(tbl_dashboard_ejm[[#This Row],[Fecha]],2)</f>
        <v>13</v>
      </c>
    </row>
    <row r="91" spans="2:11" x14ac:dyDescent="0.3">
      <c r="B91" s="67">
        <v>44280</v>
      </c>
      <c r="C91" t="s">
        <v>167</v>
      </c>
      <c r="D91" t="s">
        <v>165</v>
      </c>
      <c r="E91" t="s">
        <v>162</v>
      </c>
      <c r="F91" t="s">
        <v>169</v>
      </c>
      <c r="G91" s="82">
        <v>4866</v>
      </c>
      <c r="H91" s="82">
        <v>1362.48</v>
      </c>
      <c r="I91">
        <f>YEAR(tbl_dashboard_ejm[[#This Row],[Fecha]])</f>
        <v>2021</v>
      </c>
      <c r="J91" t="str">
        <f>TEXT(tbl_dashboard_ejm[[#This Row],[Fecha]],"MMMM")</f>
        <v>marzo</v>
      </c>
      <c r="K91">
        <f>WEEKNUM(tbl_dashboard_ejm[[#This Row],[Fecha]],2)</f>
        <v>13</v>
      </c>
    </row>
    <row r="92" spans="2:11" x14ac:dyDescent="0.3">
      <c r="B92" s="67">
        <v>44280</v>
      </c>
      <c r="C92" t="s">
        <v>170</v>
      </c>
      <c r="D92" t="s">
        <v>161</v>
      </c>
      <c r="E92" t="s">
        <v>166</v>
      </c>
      <c r="F92" t="s">
        <v>169</v>
      </c>
      <c r="G92" s="82">
        <v>8395</v>
      </c>
      <c r="H92" s="82">
        <v>3609.85</v>
      </c>
      <c r="I92">
        <f>YEAR(tbl_dashboard_ejm[[#This Row],[Fecha]])</f>
        <v>2021</v>
      </c>
      <c r="J92" t="str">
        <f>TEXT(tbl_dashboard_ejm[[#This Row],[Fecha]],"MMMM")</f>
        <v>marzo</v>
      </c>
      <c r="K92">
        <f>WEEKNUM(tbl_dashboard_ejm[[#This Row],[Fecha]],2)</f>
        <v>13</v>
      </c>
    </row>
    <row r="93" spans="2:11" x14ac:dyDescent="0.3">
      <c r="B93" s="67">
        <v>44280</v>
      </c>
      <c r="C93" t="s">
        <v>171</v>
      </c>
      <c r="D93" t="s">
        <v>165</v>
      </c>
      <c r="E93" t="s">
        <v>162</v>
      </c>
      <c r="F93" t="s">
        <v>169</v>
      </c>
      <c r="G93" s="82">
        <v>7766</v>
      </c>
      <c r="H93" s="82">
        <v>2252.14</v>
      </c>
      <c r="I93">
        <f>YEAR(tbl_dashboard_ejm[[#This Row],[Fecha]])</f>
        <v>2021</v>
      </c>
      <c r="J93" t="str">
        <f>TEXT(tbl_dashboard_ejm[[#This Row],[Fecha]],"MMMM")</f>
        <v>marzo</v>
      </c>
      <c r="K93">
        <f>WEEKNUM(tbl_dashboard_ejm[[#This Row],[Fecha]],2)</f>
        <v>13</v>
      </c>
    </row>
    <row r="94" spans="2:11" x14ac:dyDescent="0.3">
      <c r="B94" s="67">
        <v>44280</v>
      </c>
      <c r="C94" t="s">
        <v>172</v>
      </c>
      <c r="D94" t="s">
        <v>168</v>
      </c>
      <c r="E94" t="s">
        <v>162</v>
      </c>
      <c r="F94" t="s">
        <v>169</v>
      </c>
      <c r="G94" s="82">
        <v>3828</v>
      </c>
      <c r="H94" s="82">
        <v>1492.92</v>
      </c>
      <c r="I94">
        <f>YEAR(tbl_dashboard_ejm[[#This Row],[Fecha]])</f>
        <v>2021</v>
      </c>
      <c r="J94" t="str">
        <f>TEXT(tbl_dashboard_ejm[[#This Row],[Fecha]],"MMMM")</f>
        <v>marzo</v>
      </c>
      <c r="K94">
        <f>WEEKNUM(tbl_dashboard_ejm[[#This Row],[Fecha]],2)</f>
        <v>13</v>
      </c>
    </row>
    <row r="95" spans="2:11" x14ac:dyDescent="0.3">
      <c r="B95" s="67">
        <v>44279</v>
      </c>
      <c r="C95" t="s">
        <v>173</v>
      </c>
      <c r="D95" t="s">
        <v>161</v>
      </c>
      <c r="E95" t="s">
        <v>166</v>
      </c>
      <c r="F95" t="s">
        <v>169</v>
      </c>
      <c r="G95" s="82">
        <v>2485</v>
      </c>
      <c r="H95" s="82">
        <v>994</v>
      </c>
      <c r="I95">
        <f>YEAR(tbl_dashboard_ejm[[#This Row],[Fecha]])</f>
        <v>2021</v>
      </c>
      <c r="J95" t="str">
        <f>TEXT(tbl_dashboard_ejm[[#This Row],[Fecha]],"MMMM")</f>
        <v>marzo</v>
      </c>
      <c r="K95">
        <f>WEEKNUM(tbl_dashboard_ejm[[#This Row],[Fecha]],2)</f>
        <v>13</v>
      </c>
    </row>
    <row r="96" spans="2:11" x14ac:dyDescent="0.3">
      <c r="B96" s="67">
        <v>44285</v>
      </c>
      <c r="C96" t="s">
        <v>174</v>
      </c>
      <c r="D96" t="s">
        <v>165</v>
      </c>
      <c r="E96" t="s">
        <v>162</v>
      </c>
      <c r="F96" t="s">
        <v>163</v>
      </c>
      <c r="G96" s="82">
        <v>8991</v>
      </c>
      <c r="H96" s="82">
        <v>1438.56</v>
      </c>
      <c r="I96">
        <f>YEAR(tbl_dashboard_ejm[[#This Row],[Fecha]])</f>
        <v>2021</v>
      </c>
      <c r="J96" t="str">
        <f>TEXT(tbl_dashboard_ejm[[#This Row],[Fecha]],"MMMM")</f>
        <v>marzo</v>
      </c>
      <c r="K96">
        <f>WEEKNUM(tbl_dashboard_ejm[[#This Row],[Fecha]],2)</f>
        <v>14</v>
      </c>
    </row>
    <row r="97" spans="2:11" x14ac:dyDescent="0.3">
      <c r="B97" s="67">
        <v>44285</v>
      </c>
      <c r="C97" t="s">
        <v>175</v>
      </c>
      <c r="D97" t="s">
        <v>168</v>
      </c>
      <c r="E97" t="s">
        <v>162</v>
      </c>
      <c r="F97" t="s">
        <v>163</v>
      </c>
      <c r="G97" s="82">
        <v>6402</v>
      </c>
      <c r="H97" s="82">
        <v>2240.6999999999998</v>
      </c>
      <c r="I97">
        <f>YEAR(tbl_dashboard_ejm[[#This Row],[Fecha]])</f>
        <v>2021</v>
      </c>
      <c r="J97" t="str">
        <f>TEXT(tbl_dashboard_ejm[[#This Row],[Fecha]],"MMMM")</f>
        <v>marzo</v>
      </c>
      <c r="K97">
        <f>WEEKNUM(tbl_dashboard_ejm[[#This Row],[Fecha]],2)</f>
        <v>14</v>
      </c>
    </row>
    <row r="98" spans="2:11" x14ac:dyDescent="0.3">
      <c r="B98" s="67">
        <v>44285</v>
      </c>
      <c r="C98" t="s">
        <v>176</v>
      </c>
      <c r="D98" t="s">
        <v>168</v>
      </c>
      <c r="E98" t="s">
        <v>162</v>
      </c>
      <c r="F98" t="s">
        <v>169</v>
      </c>
      <c r="G98" s="82">
        <v>2495</v>
      </c>
      <c r="H98" s="82">
        <v>523.95000000000005</v>
      </c>
      <c r="I98">
        <f>YEAR(tbl_dashboard_ejm[[#This Row],[Fecha]])</f>
        <v>2021</v>
      </c>
      <c r="J98" t="str">
        <f>TEXT(tbl_dashboard_ejm[[#This Row],[Fecha]],"MMMM")</f>
        <v>marzo</v>
      </c>
      <c r="K98">
        <f>WEEKNUM(tbl_dashboard_ejm[[#This Row],[Fecha]],2)</f>
        <v>14</v>
      </c>
    </row>
    <row r="99" spans="2:11" x14ac:dyDescent="0.3">
      <c r="B99" s="67">
        <v>44285</v>
      </c>
      <c r="C99" t="s">
        <v>177</v>
      </c>
      <c r="D99" t="s">
        <v>165</v>
      </c>
      <c r="E99" t="s">
        <v>166</v>
      </c>
      <c r="F99" t="s">
        <v>169</v>
      </c>
      <c r="G99" s="82">
        <v>2615</v>
      </c>
      <c r="H99" s="82">
        <v>627.6</v>
      </c>
      <c r="I99">
        <f>YEAR(tbl_dashboard_ejm[[#This Row],[Fecha]])</f>
        <v>2021</v>
      </c>
      <c r="J99" t="str">
        <f>TEXT(tbl_dashboard_ejm[[#This Row],[Fecha]],"MMMM")</f>
        <v>marzo</v>
      </c>
      <c r="K99">
        <f>WEEKNUM(tbl_dashboard_ejm[[#This Row],[Fecha]],2)</f>
        <v>14</v>
      </c>
    </row>
    <row r="100" spans="2:11" x14ac:dyDescent="0.3">
      <c r="B100" s="67">
        <v>44285</v>
      </c>
      <c r="C100" t="s">
        <v>178</v>
      </c>
      <c r="D100" t="s">
        <v>165</v>
      </c>
      <c r="E100" t="s">
        <v>162</v>
      </c>
      <c r="F100" t="s">
        <v>163</v>
      </c>
      <c r="G100" s="82">
        <v>6304</v>
      </c>
      <c r="H100" s="82">
        <v>2143.36</v>
      </c>
      <c r="I100">
        <f>YEAR(tbl_dashboard_ejm[[#This Row],[Fecha]])</f>
        <v>2021</v>
      </c>
      <c r="J100" t="str">
        <f>TEXT(tbl_dashboard_ejm[[#This Row],[Fecha]],"MMMM")</f>
        <v>marzo</v>
      </c>
      <c r="K100">
        <f>WEEKNUM(tbl_dashboard_ejm[[#This Row],[Fecha]],2)</f>
        <v>14</v>
      </c>
    </row>
    <row r="101" spans="2:11" x14ac:dyDescent="0.3">
      <c r="B101" s="67">
        <v>44285</v>
      </c>
      <c r="C101" t="s">
        <v>179</v>
      </c>
      <c r="D101" t="s">
        <v>165</v>
      </c>
      <c r="E101" t="s">
        <v>166</v>
      </c>
      <c r="F101" t="s">
        <v>163</v>
      </c>
      <c r="G101" s="82">
        <v>5428</v>
      </c>
      <c r="H101" s="82">
        <v>814.2</v>
      </c>
      <c r="I101">
        <f>YEAR(tbl_dashboard_ejm[[#This Row],[Fecha]])</f>
        <v>2021</v>
      </c>
      <c r="J101" t="str">
        <f>TEXT(tbl_dashboard_ejm[[#This Row],[Fecha]],"MMMM")</f>
        <v>marzo</v>
      </c>
      <c r="K101">
        <f>WEEKNUM(tbl_dashboard_ejm[[#This Row],[Fecha]],2)</f>
        <v>14</v>
      </c>
    </row>
    <row r="102" spans="2:11" x14ac:dyDescent="0.3">
      <c r="B102" s="67">
        <v>44285</v>
      </c>
      <c r="C102" t="s">
        <v>180</v>
      </c>
      <c r="D102" t="s">
        <v>161</v>
      </c>
      <c r="E102" t="s">
        <v>166</v>
      </c>
      <c r="F102" t="s">
        <v>169</v>
      </c>
      <c r="G102" s="82">
        <v>5794</v>
      </c>
      <c r="H102" s="82">
        <v>1738.2</v>
      </c>
      <c r="I102">
        <f>YEAR(tbl_dashboard_ejm[[#This Row],[Fecha]])</f>
        <v>2021</v>
      </c>
      <c r="J102" t="str">
        <f>TEXT(tbl_dashboard_ejm[[#This Row],[Fecha]],"MMMM")</f>
        <v>marzo</v>
      </c>
      <c r="K102">
        <f>WEEKNUM(tbl_dashboard_ejm[[#This Row],[Fecha]],2)</f>
        <v>14</v>
      </c>
    </row>
    <row r="103" spans="2:11" x14ac:dyDescent="0.3">
      <c r="B103" s="67">
        <v>44281</v>
      </c>
      <c r="C103" t="s">
        <v>181</v>
      </c>
      <c r="D103" t="s">
        <v>161</v>
      </c>
      <c r="E103" t="s">
        <v>162</v>
      </c>
      <c r="F103" t="s">
        <v>163</v>
      </c>
      <c r="G103" s="82">
        <v>9360</v>
      </c>
      <c r="H103" s="82">
        <v>3556.8</v>
      </c>
      <c r="I103">
        <f>YEAR(tbl_dashboard_ejm[[#This Row],[Fecha]])</f>
        <v>2021</v>
      </c>
      <c r="J103" t="str">
        <f>TEXT(tbl_dashboard_ejm[[#This Row],[Fecha]],"MMMM")</f>
        <v>marzo</v>
      </c>
      <c r="K103">
        <f>WEEKNUM(tbl_dashboard_ejm[[#This Row],[Fecha]],2)</f>
        <v>13</v>
      </c>
    </row>
    <row r="104" spans="2:11" x14ac:dyDescent="0.3">
      <c r="B104" s="67">
        <v>44280</v>
      </c>
      <c r="C104" t="s">
        <v>182</v>
      </c>
      <c r="D104" t="s">
        <v>165</v>
      </c>
      <c r="E104" t="s">
        <v>162</v>
      </c>
      <c r="F104" t="s">
        <v>169</v>
      </c>
      <c r="G104" s="82">
        <v>3861</v>
      </c>
      <c r="H104" s="82">
        <v>1235.52</v>
      </c>
      <c r="I104">
        <f>YEAR(tbl_dashboard_ejm[[#This Row],[Fecha]])</f>
        <v>2021</v>
      </c>
      <c r="J104" t="str">
        <f>TEXT(tbl_dashboard_ejm[[#This Row],[Fecha]],"MMMM")</f>
        <v>marzo</v>
      </c>
      <c r="K104">
        <f>WEEKNUM(tbl_dashboard_ejm[[#This Row],[Fecha]],2)</f>
        <v>13</v>
      </c>
    </row>
    <row r="105" spans="2:11" x14ac:dyDescent="0.3">
      <c r="B105" s="67">
        <v>44280</v>
      </c>
      <c r="C105" t="s">
        <v>183</v>
      </c>
      <c r="D105" t="s">
        <v>168</v>
      </c>
      <c r="E105" t="s">
        <v>166</v>
      </c>
      <c r="F105" t="s">
        <v>169</v>
      </c>
      <c r="G105" s="82">
        <v>6237</v>
      </c>
      <c r="H105" s="82">
        <v>2806.65</v>
      </c>
      <c r="I105">
        <f>YEAR(tbl_dashboard_ejm[[#This Row],[Fecha]])</f>
        <v>2021</v>
      </c>
      <c r="J105" t="str">
        <f>TEXT(tbl_dashboard_ejm[[#This Row],[Fecha]],"MMMM")</f>
        <v>marzo</v>
      </c>
      <c r="K105">
        <f>WEEKNUM(tbl_dashboard_ejm[[#This Row],[Fecha]],2)</f>
        <v>13</v>
      </c>
    </row>
    <row r="106" spans="2:11" x14ac:dyDescent="0.3">
      <c r="B106" s="67">
        <v>44280</v>
      </c>
      <c r="C106" t="s">
        <v>184</v>
      </c>
      <c r="D106" t="s">
        <v>168</v>
      </c>
      <c r="E106" t="s">
        <v>166</v>
      </c>
      <c r="F106" t="s">
        <v>169</v>
      </c>
      <c r="G106" s="82">
        <v>7903</v>
      </c>
      <c r="H106" s="82">
        <v>2212.84</v>
      </c>
      <c r="I106">
        <f>YEAR(tbl_dashboard_ejm[[#This Row],[Fecha]])</f>
        <v>2021</v>
      </c>
      <c r="J106" t="str">
        <f>TEXT(tbl_dashboard_ejm[[#This Row],[Fecha]],"MMMM")</f>
        <v>marzo</v>
      </c>
      <c r="K106">
        <f>WEEKNUM(tbl_dashboard_ejm[[#This Row],[Fecha]],2)</f>
        <v>13</v>
      </c>
    </row>
    <row r="107" spans="2:11" x14ac:dyDescent="0.3">
      <c r="B107" s="67">
        <v>44280</v>
      </c>
      <c r="C107" t="s">
        <v>185</v>
      </c>
      <c r="D107" t="s">
        <v>165</v>
      </c>
      <c r="E107" t="s">
        <v>166</v>
      </c>
      <c r="F107" t="s">
        <v>169</v>
      </c>
      <c r="G107" s="82">
        <v>7472</v>
      </c>
      <c r="H107" s="82">
        <v>2839.36</v>
      </c>
      <c r="I107">
        <f>YEAR(tbl_dashboard_ejm[[#This Row],[Fecha]])</f>
        <v>2021</v>
      </c>
      <c r="J107" t="str">
        <f>TEXT(tbl_dashboard_ejm[[#This Row],[Fecha]],"MMMM")</f>
        <v>marzo</v>
      </c>
      <c r="K107">
        <f>WEEKNUM(tbl_dashboard_ejm[[#This Row],[Fecha]],2)</f>
        <v>13</v>
      </c>
    </row>
    <row r="108" spans="2:11" x14ac:dyDescent="0.3">
      <c r="B108" s="67">
        <v>44279</v>
      </c>
      <c r="C108" t="s">
        <v>186</v>
      </c>
      <c r="D108" t="s">
        <v>165</v>
      </c>
      <c r="E108" t="s">
        <v>162</v>
      </c>
      <c r="F108" t="s">
        <v>169</v>
      </c>
      <c r="G108" s="82">
        <v>10690</v>
      </c>
      <c r="H108" s="82">
        <v>4169.1000000000004</v>
      </c>
      <c r="I108">
        <f>YEAR(tbl_dashboard_ejm[[#This Row],[Fecha]])</f>
        <v>2021</v>
      </c>
      <c r="J108" t="str">
        <f>TEXT(tbl_dashboard_ejm[[#This Row],[Fecha]],"MMMM")</f>
        <v>marzo</v>
      </c>
      <c r="K108">
        <f>WEEKNUM(tbl_dashboard_ejm[[#This Row],[Fecha]],2)</f>
        <v>13</v>
      </c>
    </row>
    <row r="109" spans="2:11" x14ac:dyDescent="0.3">
      <c r="B109" s="67">
        <v>44286</v>
      </c>
      <c r="C109" t="s">
        <v>187</v>
      </c>
      <c r="D109" t="s">
        <v>165</v>
      </c>
      <c r="E109" t="s">
        <v>166</v>
      </c>
      <c r="F109" t="s">
        <v>163</v>
      </c>
      <c r="G109" s="82">
        <v>4811</v>
      </c>
      <c r="H109" s="82">
        <v>1106.53</v>
      </c>
      <c r="I109">
        <f>YEAR(tbl_dashboard_ejm[[#This Row],[Fecha]])</f>
        <v>2021</v>
      </c>
      <c r="J109" t="str">
        <f>TEXT(tbl_dashboard_ejm[[#This Row],[Fecha]],"MMMM")</f>
        <v>marzo</v>
      </c>
      <c r="K109">
        <f>WEEKNUM(tbl_dashboard_ejm[[#This Row],[Fecha]],2)</f>
        <v>14</v>
      </c>
    </row>
    <row r="110" spans="2:11" x14ac:dyDescent="0.3">
      <c r="B110" s="67">
        <v>44286</v>
      </c>
      <c r="C110" t="s">
        <v>188</v>
      </c>
      <c r="D110" t="s">
        <v>161</v>
      </c>
      <c r="E110" t="s">
        <v>162</v>
      </c>
      <c r="F110" t="s">
        <v>163</v>
      </c>
      <c r="G110" s="82">
        <v>8523</v>
      </c>
      <c r="H110" s="82">
        <v>1448.91</v>
      </c>
      <c r="I110">
        <f>YEAR(tbl_dashboard_ejm[[#This Row],[Fecha]])</f>
        <v>2021</v>
      </c>
      <c r="J110" t="str">
        <f>TEXT(tbl_dashboard_ejm[[#This Row],[Fecha]],"MMMM")</f>
        <v>marzo</v>
      </c>
      <c r="K110">
        <f>WEEKNUM(tbl_dashboard_ejm[[#This Row],[Fecha]],2)</f>
        <v>14</v>
      </c>
    </row>
    <row r="111" spans="2:11" x14ac:dyDescent="0.3">
      <c r="B111" s="67">
        <v>44286</v>
      </c>
      <c r="C111" t="s">
        <v>189</v>
      </c>
      <c r="D111" t="s">
        <v>165</v>
      </c>
      <c r="E111" t="s">
        <v>162</v>
      </c>
      <c r="F111" t="s">
        <v>169</v>
      </c>
      <c r="G111" s="82">
        <v>10371</v>
      </c>
      <c r="H111" s="82">
        <v>2281.62</v>
      </c>
      <c r="I111">
        <f>YEAR(tbl_dashboard_ejm[[#This Row],[Fecha]])</f>
        <v>2021</v>
      </c>
      <c r="J111" t="str">
        <f>TEXT(tbl_dashboard_ejm[[#This Row],[Fecha]],"MMMM")</f>
        <v>marzo</v>
      </c>
      <c r="K111">
        <f>WEEKNUM(tbl_dashboard_ejm[[#This Row],[Fecha]],2)</f>
        <v>14</v>
      </c>
    </row>
    <row r="112" spans="2:11" x14ac:dyDescent="0.3">
      <c r="B112" s="67">
        <v>44316</v>
      </c>
      <c r="C112" t="s">
        <v>160</v>
      </c>
      <c r="D112" t="s">
        <v>165</v>
      </c>
      <c r="E112" t="s">
        <v>162</v>
      </c>
      <c r="F112" t="s">
        <v>169</v>
      </c>
      <c r="G112" s="82">
        <v>3539</v>
      </c>
      <c r="H112" s="82">
        <v>813.97</v>
      </c>
      <c r="I112">
        <f>YEAR(tbl_dashboard_ejm[[#This Row],[Fecha]])</f>
        <v>2021</v>
      </c>
      <c r="J112" t="str">
        <f>TEXT(tbl_dashboard_ejm[[#This Row],[Fecha]],"MMMM")</f>
        <v>abril</v>
      </c>
      <c r="K112">
        <f>WEEKNUM(tbl_dashboard_ejm[[#This Row],[Fecha]],2)</f>
        <v>18</v>
      </c>
    </row>
    <row r="113" spans="2:11" x14ac:dyDescent="0.3">
      <c r="B113" s="67">
        <v>44316</v>
      </c>
      <c r="C113" t="s">
        <v>164</v>
      </c>
      <c r="D113" t="s">
        <v>168</v>
      </c>
      <c r="E113" t="s">
        <v>162</v>
      </c>
      <c r="F113" t="s">
        <v>163</v>
      </c>
      <c r="G113" s="82">
        <v>4621</v>
      </c>
      <c r="H113" s="82">
        <v>1293.8800000000001</v>
      </c>
      <c r="I113">
        <f>YEAR(tbl_dashboard_ejm[[#This Row],[Fecha]])</f>
        <v>2021</v>
      </c>
      <c r="J113" t="str">
        <f>TEXT(tbl_dashboard_ejm[[#This Row],[Fecha]],"MMMM")</f>
        <v>abril</v>
      </c>
      <c r="K113">
        <f>WEEKNUM(tbl_dashboard_ejm[[#This Row],[Fecha]],2)</f>
        <v>18</v>
      </c>
    </row>
    <row r="114" spans="2:11" x14ac:dyDescent="0.3">
      <c r="B114" s="67">
        <v>44316</v>
      </c>
      <c r="C114" t="s">
        <v>167</v>
      </c>
      <c r="D114" t="s">
        <v>165</v>
      </c>
      <c r="E114" t="s">
        <v>162</v>
      </c>
      <c r="F114" t="s">
        <v>163</v>
      </c>
      <c r="G114" s="82">
        <v>1409</v>
      </c>
      <c r="H114" s="82">
        <v>408.61</v>
      </c>
      <c r="I114">
        <f>YEAR(tbl_dashboard_ejm[[#This Row],[Fecha]])</f>
        <v>2021</v>
      </c>
      <c r="J114" t="str">
        <f>TEXT(tbl_dashboard_ejm[[#This Row],[Fecha]],"MMMM")</f>
        <v>abril</v>
      </c>
      <c r="K114">
        <f>WEEKNUM(tbl_dashboard_ejm[[#This Row],[Fecha]],2)</f>
        <v>18</v>
      </c>
    </row>
    <row r="115" spans="2:11" x14ac:dyDescent="0.3">
      <c r="B115" s="67">
        <v>44316</v>
      </c>
      <c r="C115" t="s">
        <v>170</v>
      </c>
      <c r="D115" t="s">
        <v>161</v>
      </c>
      <c r="E115" t="s">
        <v>162</v>
      </c>
      <c r="F115" t="s">
        <v>169</v>
      </c>
      <c r="G115" s="82">
        <v>2840</v>
      </c>
      <c r="H115" s="82">
        <v>908.8</v>
      </c>
      <c r="I115">
        <f>YEAR(tbl_dashboard_ejm[[#This Row],[Fecha]])</f>
        <v>2021</v>
      </c>
      <c r="J115" t="str">
        <f>TEXT(tbl_dashboard_ejm[[#This Row],[Fecha]],"MMMM")</f>
        <v>abril</v>
      </c>
      <c r="K115">
        <f>WEEKNUM(tbl_dashboard_ejm[[#This Row],[Fecha]],2)</f>
        <v>18</v>
      </c>
    </row>
    <row r="116" spans="2:11" x14ac:dyDescent="0.3">
      <c r="B116" s="67">
        <v>44312</v>
      </c>
      <c r="C116" t="s">
        <v>171</v>
      </c>
      <c r="D116" t="s">
        <v>161</v>
      </c>
      <c r="E116" t="s">
        <v>162</v>
      </c>
      <c r="F116" t="s">
        <v>163</v>
      </c>
      <c r="G116" s="82">
        <v>4820</v>
      </c>
      <c r="H116" s="82">
        <v>723</v>
      </c>
      <c r="I116">
        <f>YEAR(tbl_dashboard_ejm[[#This Row],[Fecha]])</f>
        <v>2021</v>
      </c>
      <c r="J116" t="str">
        <f>TEXT(tbl_dashboard_ejm[[#This Row],[Fecha]],"MMMM")</f>
        <v>abril</v>
      </c>
      <c r="K116">
        <f>WEEKNUM(tbl_dashboard_ejm[[#This Row],[Fecha]],2)</f>
        <v>18</v>
      </c>
    </row>
    <row r="117" spans="2:11" x14ac:dyDescent="0.3">
      <c r="B117" s="67">
        <v>44311</v>
      </c>
      <c r="C117" t="s">
        <v>172</v>
      </c>
      <c r="D117" t="s">
        <v>161</v>
      </c>
      <c r="E117" t="s">
        <v>166</v>
      </c>
      <c r="F117" t="s">
        <v>169</v>
      </c>
      <c r="G117" s="82">
        <v>4361</v>
      </c>
      <c r="H117" s="82">
        <v>654.15</v>
      </c>
      <c r="I117">
        <f>YEAR(tbl_dashboard_ejm[[#This Row],[Fecha]])</f>
        <v>2021</v>
      </c>
      <c r="J117" t="str">
        <f>TEXT(tbl_dashboard_ejm[[#This Row],[Fecha]],"MMMM")</f>
        <v>abril</v>
      </c>
      <c r="K117">
        <f>WEEKNUM(tbl_dashboard_ejm[[#This Row],[Fecha]],2)</f>
        <v>17</v>
      </c>
    </row>
    <row r="118" spans="2:11" x14ac:dyDescent="0.3">
      <c r="B118" s="67">
        <v>44311</v>
      </c>
      <c r="C118" t="s">
        <v>173</v>
      </c>
      <c r="D118" t="s">
        <v>168</v>
      </c>
      <c r="E118" t="s">
        <v>166</v>
      </c>
      <c r="F118" t="s">
        <v>169</v>
      </c>
      <c r="G118" s="82">
        <v>6527</v>
      </c>
      <c r="H118" s="82">
        <v>2610.8000000000002</v>
      </c>
      <c r="I118">
        <f>YEAR(tbl_dashboard_ejm[[#This Row],[Fecha]])</f>
        <v>2021</v>
      </c>
      <c r="J118" t="str">
        <f>TEXT(tbl_dashboard_ejm[[#This Row],[Fecha]],"MMMM")</f>
        <v>abril</v>
      </c>
      <c r="K118">
        <f>WEEKNUM(tbl_dashboard_ejm[[#This Row],[Fecha]],2)</f>
        <v>17</v>
      </c>
    </row>
    <row r="119" spans="2:11" x14ac:dyDescent="0.3">
      <c r="B119" s="67">
        <v>44311</v>
      </c>
      <c r="C119" t="s">
        <v>174</v>
      </c>
      <c r="D119" t="s">
        <v>161</v>
      </c>
      <c r="E119" t="s">
        <v>162</v>
      </c>
      <c r="F119" t="s">
        <v>169</v>
      </c>
      <c r="G119" s="82">
        <v>7308</v>
      </c>
      <c r="H119" s="82">
        <v>2557.8000000000002</v>
      </c>
      <c r="I119">
        <f>YEAR(tbl_dashboard_ejm[[#This Row],[Fecha]])</f>
        <v>2021</v>
      </c>
      <c r="J119" t="str">
        <f>TEXT(tbl_dashboard_ejm[[#This Row],[Fecha]],"MMMM")</f>
        <v>abril</v>
      </c>
      <c r="K119">
        <f>WEEKNUM(tbl_dashboard_ejm[[#This Row],[Fecha]],2)</f>
        <v>17</v>
      </c>
    </row>
    <row r="120" spans="2:11" x14ac:dyDescent="0.3">
      <c r="B120" s="67">
        <v>44311</v>
      </c>
      <c r="C120" t="s">
        <v>175</v>
      </c>
      <c r="D120" t="s">
        <v>161</v>
      </c>
      <c r="E120" t="s">
        <v>166</v>
      </c>
      <c r="F120" t="s">
        <v>169</v>
      </c>
      <c r="G120" s="82">
        <v>5191</v>
      </c>
      <c r="H120" s="82">
        <v>1557.3</v>
      </c>
      <c r="I120">
        <f>YEAR(tbl_dashboard_ejm[[#This Row],[Fecha]])</f>
        <v>2021</v>
      </c>
      <c r="J120" t="str">
        <f>TEXT(tbl_dashboard_ejm[[#This Row],[Fecha]],"MMMM")</f>
        <v>abril</v>
      </c>
      <c r="K120">
        <f>WEEKNUM(tbl_dashboard_ejm[[#This Row],[Fecha]],2)</f>
        <v>17</v>
      </c>
    </row>
    <row r="121" spans="2:11" x14ac:dyDescent="0.3">
      <c r="B121" s="67">
        <v>44310</v>
      </c>
      <c r="C121" t="s">
        <v>176</v>
      </c>
      <c r="D121" t="s">
        <v>168</v>
      </c>
      <c r="E121" t="s">
        <v>162</v>
      </c>
      <c r="F121" t="s">
        <v>169</v>
      </c>
      <c r="G121" s="82">
        <v>6927</v>
      </c>
      <c r="H121" s="82">
        <v>1662.48</v>
      </c>
      <c r="I121">
        <f>YEAR(tbl_dashboard_ejm[[#This Row],[Fecha]])</f>
        <v>2021</v>
      </c>
      <c r="J121" t="str">
        <f>TEXT(tbl_dashboard_ejm[[#This Row],[Fecha]],"MMMM")</f>
        <v>abril</v>
      </c>
      <c r="K121">
        <f>WEEKNUM(tbl_dashboard_ejm[[#This Row],[Fecha]],2)</f>
        <v>17</v>
      </c>
    </row>
    <row r="122" spans="2:11" x14ac:dyDescent="0.3">
      <c r="B122" s="67">
        <v>44316</v>
      </c>
      <c r="C122" t="s">
        <v>177</v>
      </c>
      <c r="D122" t="s">
        <v>161</v>
      </c>
      <c r="E122" t="s">
        <v>162</v>
      </c>
      <c r="F122" t="s">
        <v>163</v>
      </c>
      <c r="G122" s="82">
        <v>4215</v>
      </c>
      <c r="H122" s="82">
        <v>1138.05</v>
      </c>
      <c r="I122">
        <f>YEAR(tbl_dashboard_ejm[[#This Row],[Fecha]])</f>
        <v>2021</v>
      </c>
      <c r="J122" t="str">
        <f>TEXT(tbl_dashboard_ejm[[#This Row],[Fecha]],"MMMM")</f>
        <v>abril</v>
      </c>
      <c r="K122">
        <f>WEEKNUM(tbl_dashboard_ejm[[#This Row],[Fecha]],2)</f>
        <v>18</v>
      </c>
    </row>
    <row r="123" spans="2:11" x14ac:dyDescent="0.3">
      <c r="B123" s="67">
        <v>44316</v>
      </c>
      <c r="C123" t="s">
        <v>178</v>
      </c>
      <c r="D123" t="s">
        <v>168</v>
      </c>
      <c r="E123" t="s">
        <v>162</v>
      </c>
      <c r="F123" t="s">
        <v>163</v>
      </c>
      <c r="G123" s="82">
        <v>8956</v>
      </c>
      <c r="H123" s="82">
        <v>3851.08</v>
      </c>
      <c r="I123">
        <f>YEAR(tbl_dashboard_ejm[[#This Row],[Fecha]])</f>
        <v>2021</v>
      </c>
      <c r="J123" t="str">
        <f>TEXT(tbl_dashboard_ejm[[#This Row],[Fecha]],"MMMM")</f>
        <v>abril</v>
      </c>
      <c r="K123">
        <f>WEEKNUM(tbl_dashboard_ejm[[#This Row],[Fecha]],2)</f>
        <v>18</v>
      </c>
    </row>
    <row r="124" spans="2:11" x14ac:dyDescent="0.3">
      <c r="B124" s="67">
        <v>44316</v>
      </c>
      <c r="C124" t="s">
        <v>179</v>
      </c>
      <c r="D124" t="s">
        <v>168</v>
      </c>
      <c r="E124" t="s">
        <v>166</v>
      </c>
      <c r="F124" t="s">
        <v>169</v>
      </c>
      <c r="G124" s="82">
        <v>5958</v>
      </c>
      <c r="H124" s="82">
        <v>1727.82</v>
      </c>
      <c r="I124">
        <f>YEAR(tbl_dashboard_ejm[[#This Row],[Fecha]])</f>
        <v>2021</v>
      </c>
      <c r="J124" t="str">
        <f>TEXT(tbl_dashboard_ejm[[#This Row],[Fecha]],"MMMM")</f>
        <v>abril</v>
      </c>
      <c r="K124">
        <f>WEEKNUM(tbl_dashboard_ejm[[#This Row],[Fecha]],2)</f>
        <v>18</v>
      </c>
    </row>
    <row r="125" spans="2:11" x14ac:dyDescent="0.3">
      <c r="B125" s="67">
        <v>44316</v>
      </c>
      <c r="C125" t="s">
        <v>180</v>
      </c>
      <c r="D125" t="s">
        <v>168</v>
      </c>
      <c r="E125" t="s">
        <v>162</v>
      </c>
      <c r="F125" t="s">
        <v>169</v>
      </c>
      <c r="G125" s="82">
        <v>6870</v>
      </c>
      <c r="H125" s="82">
        <v>2129.6999999999998</v>
      </c>
      <c r="I125">
        <f>YEAR(tbl_dashboard_ejm[[#This Row],[Fecha]])</f>
        <v>2021</v>
      </c>
      <c r="J125" t="str">
        <f>TEXT(tbl_dashboard_ejm[[#This Row],[Fecha]],"MMMM")</f>
        <v>abril</v>
      </c>
      <c r="K125">
        <f>WEEKNUM(tbl_dashboard_ejm[[#This Row],[Fecha]],2)</f>
        <v>18</v>
      </c>
    </row>
    <row r="126" spans="2:11" x14ac:dyDescent="0.3">
      <c r="B126" s="67">
        <v>44316</v>
      </c>
      <c r="C126" t="s">
        <v>181</v>
      </c>
      <c r="D126" t="s">
        <v>168</v>
      </c>
      <c r="E126" t="s">
        <v>166</v>
      </c>
      <c r="F126" t="s">
        <v>163</v>
      </c>
      <c r="G126" s="82">
        <v>9612</v>
      </c>
      <c r="H126" s="82">
        <v>4325.3999999999996</v>
      </c>
      <c r="I126">
        <f>YEAR(tbl_dashboard_ejm[[#This Row],[Fecha]])</f>
        <v>2021</v>
      </c>
      <c r="J126" t="str">
        <f>TEXT(tbl_dashboard_ejm[[#This Row],[Fecha]],"MMMM")</f>
        <v>abril</v>
      </c>
      <c r="K126">
        <f>WEEKNUM(tbl_dashboard_ejm[[#This Row],[Fecha]],2)</f>
        <v>18</v>
      </c>
    </row>
    <row r="127" spans="2:11" x14ac:dyDescent="0.3">
      <c r="B127" s="67">
        <v>44316</v>
      </c>
      <c r="C127" t="s">
        <v>182</v>
      </c>
      <c r="D127" t="s">
        <v>165</v>
      </c>
      <c r="E127" t="s">
        <v>166</v>
      </c>
      <c r="F127" t="s">
        <v>163</v>
      </c>
      <c r="G127" s="82">
        <v>1880</v>
      </c>
      <c r="H127" s="82">
        <v>808.4</v>
      </c>
      <c r="I127">
        <f>YEAR(tbl_dashboard_ejm[[#This Row],[Fecha]])</f>
        <v>2021</v>
      </c>
      <c r="J127" t="str">
        <f>TEXT(tbl_dashboard_ejm[[#This Row],[Fecha]],"MMMM")</f>
        <v>abril</v>
      </c>
      <c r="K127">
        <f>WEEKNUM(tbl_dashboard_ejm[[#This Row],[Fecha]],2)</f>
        <v>18</v>
      </c>
    </row>
    <row r="128" spans="2:11" x14ac:dyDescent="0.3">
      <c r="B128" s="67">
        <v>44316</v>
      </c>
      <c r="C128" t="s">
        <v>183</v>
      </c>
      <c r="D128" t="s">
        <v>168</v>
      </c>
      <c r="E128" t="s">
        <v>166</v>
      </c>
      <c r="F128" t="s">
        <v>169</v>
      </c>
      <c r="G128" s="82">
        <v>8485</v>
      </c>
      <c r="H128" s="82">
        <v>2206.1</v>
      </c>
      <c r="I128">
        <f>YEAR(tbl_dashboard_ejm[[#This Row],[Fecha]])</f>
        <v>2021</v>
      </c>
      <c r="J128" t="str">
        <f>TEXT(tbl_dashboard_ejm[[#This Row],[Fecha]],"MMMM")</f>
        <v>abril</v>
      </c>
      <c r="K128">
        <f>WEEKNUM(tbl_dashboard_ejm[[#This Row],[Fecha]],2)</f>
        <v>18</v>
      </c>
    </row>
    <row r="129" spans="2:11" x14ac:dyDescent="0.3">
      <c r="B129" s="67">
        <v>44312</v>
      </c>
      <c r="C129" t="s">
        <v>184</v>
      </c>
      <c r="D129" t="s">
        <v>161</v>
      </c>
      <c r="E129" t="s">
        <v>162</v>
      </c>
      <c r="F129" t="s">
        <v>163</v>
      </c>
      <c r="G129" s="82">
        <v>3803</v>
      </c>
      <c r="H129" s="82">
        <v>646.51</v>
      </c>
      <c r="I129">
        <f>YEAR(tbl_dashboard_ejm[[#This Row],[Fecha]])</f>
        <v>2021</v>
      </c>
      <c r="J129" t="str">
        <f>TEXT(tbl_dashboard_ejm[[#This Row],[Fecha]],"MMMM")</f>
        <v>abril</v>
      </c>
      <c r="K129">
        <f>WEEKNUM(tbl_dashboard_ejm[[#This Row],[Fecha]],2)</f>
        <v>18</v>
      </c>
    </row>
    <row r="130" spans="2:11" x14ac:dyDescent="0.3">
      <c r="B130" s="67">
        <v>44311</v>
      </c>
      <c r="C130" t="s">
        <v>185</v>
      </c>
      <c r="D130" t="s">
        <v>165</v>
      </c>
      <c r="E130" t="s">
        <v>162</v>
      </c>
      <c r="F130" t="s">
        <v>169</v>
      </c>
      <c r="G130" s="82">
        <v>8079</v>
      </c>
      <c r="H130" s="82">
        <v>3393.18</v>
      </c>
      <c r="I130">
        <f>YEAR(tbl_dashboard_ejm[[#This Row],[Fecha]])</f>
        <v>2021</v>
      </c>
      <c r="J130" t="str">
        <f>TEXT(tbl_dashboard_ejm[[#This Row],[Fecha]],"MMMM")</f>
        <v>abril</v>
      </c>
      <c r="K130">
        <f>WEEKNUM(tbl_dashboard_ejm[[#This Row],[Fecha]],2)</f>
        <v>17</v>
      </c>
    </row>
    <row r="131" spans="2:11" x14ac:dyDescent="0.3">
      <c r="B131" s="67">
        <v>44311</v>
      </c>
      <c r="C131" t="s">
        <v>186</v>
      </c>
      <c r="D131" t="s">
        <v>168</v>
      </c>
      <c r="E131" t="s">
        <v>162</v>
      </c>
      <c r="F131" t="s">
        <v>169</v>
      </c>
      <c r="G131" s="82">
        <v>5078</v>
      </c>
      <c r="H131" s="82">
        <v>1371.06</v>
      </c>
      <c r="I131">
        <f>YEAR(tbl_dashboard_ejm[[#This Row],[Fecha]])</f>
        <v>2021</v>
      </c>
      <c r="J131" t="str">
        <f>TEXT(tbl_dashboard_ejm[[#This Row],[Fecha]],"MMMM")</f>
        <v>abril</v>
      </c>
      <c r="K131">
        <f>WEEKNUM(tbl_dashboard_ejm[[#This Row],[Fecha]],2)</f>
        <v>17</v>
      </c>
    </row>
    <row r="132" spans="2:11" x14ac:dyDescent="0.3">
      <c r="B132" s="67">
        <v>44311</v>
      </c>
      <c r="C132" t="s">
        <v>187</v>
      </c>
      <c r="D132" t="s">
        <v>165</v>
      </c>
      <c r="E132" t="s">
        <v>162</v>
      </c>
      <c r="F132" t="s">
        <v>169</v>
      </c>
      <c r="G132" s="82">
        <v>3318</v>
      </c>
      <c r="H132" s="82">
        <v>530.88</v>
      </c>
      <c r="I132">
        <f>YEAR(tbl_dashboard_ejm[[#This Row],[Fecha]])</f>
        <v>2021</v>
      </c>
      <c r="J132" t="str">
        <f>TEXT(tbl_dashboard_ejm[[#This Row],[Fecha]],"MMMM")</f>
        <v>abril</v>
      </c>
      <c r="K132">
        <f>WEEKNUM(tbl_dashboard_ejm[[#This Row],[Fecha]],2)</f>
        <v>17</v>
      </c>
    </row>
    <row r="133" spans="2:11" x14ac:dyDescent="0.3">
      <c r="B133" s="67">
        <v>44311</v>
      </c>
      <c r="C133" t="s">
        <v>188</v>
      </c>
      <c r="D133" t="s">
        <v>165</v>
      </c>
      <c r="E133" t="s">
        <v>166</v>
      </c>
      <c r="F133" t="s">
        <v>169</v>
      </c>
      <c r="G133" s="82">
        <v>6047</v>
      </c>
      <c r="H133" s="82">
        <v>1814.1</v>
      </c>
      <c r="I133">
        <f>YEAR(tbl_dashboard_ejm[[#This Row],[Fecha]])</f>
        <v>2021</v>
      </c>
      <c r="J133" t="str">
        <f>TEXT(tbl_dashboard_ejm[[#This Row],[Fecha]],"MMMM")</f>
        <v>abril</v>
      </c>
      <c r="K133">
        <f>WEEKNUM(tbl_dashboard_ejm[[#This Row],[Fecha]],2)</f>
        <v>17</v>
      </c>
    </row>
    <row r="134" spans="2:11" x14ac:dyDescent="0.3">
      <c r="B134" s="67">
        <v>44310</v>
      </c>
      <c r="C134" t="s">
        <v>189</v>
      </c>
      <c r="D134" t="s">
        <v>165</v>
      </c>
      <c r="E134" t="s">
        <v>162</v>
      </c>
      <c r="F134" t="s">
        <v>169</v>
      </c>
      <c r="G134" s="82">
        <v>3008</v>
      </c>
      <c r="H134" s="82">
        <v>481.28</v>
      </c>
      <c r="I134">
        <f>YEAR(tbl_dashboard_ejm[[#This Row],[Fecha]])</f>
        <v>2021</v>
      </c>
      <c r="J134" t="str">
        <f>TEXT(tbl_dashboard_ejm[[#This Row],[Fecha]],"MMMM")</f>
        <v>abril</v>
      </c>
      <c r="K134">
        <f>WEEKNUM(tbl_dashboard_ejm[[#This Row],[Fecha]],2)</f>
        <v>17</v>
      </c>
    </row>
    <row r="135" spans="2:11" x14ac:dyDescent="0.3">
      <c r="B135" s="67">
        <v>44347</v>
      </c>
      <c r="C135" t="s">
        <v>160</v>
      </c>
      <c r="D135" t="s">
        <v>161</v>
      </c>
      <c r="E135" t="s">
        <v>162</v>
      </c>
      <c r="F135" t="s">
        <v>163</v>
      </c>
      <c r="G135" s="82">
        <v>2574</v>
      </c>
      <c r="H135" s="82">
        <v>720.72</v>
      </c>
      <c r="I135">
        <f>YEAR(tbl_dashboard_ejm[[#This Row],[Fecha]])</f>
        <v>2021</v>
      </c>
      <c r="J135" t="str">
        <f>TEXT(tbl_dashboard_ejm[[#This Row],[Fecha]],"MMMM")</f>
        <v>mayo</v>
      </c>
      <c r="K135">
        <f>WEEKNUM(tbl_dashboard_ejm[[#This Row],[Fecha]],2)</f>
        <v>23</v>
      </c>
    </row>
    <row r="136" spans="2:11" x14ac:dyDescent="0.3">
      <c r="B136" s="67">
        <v>44347</v>
      </c>
      <c r="C136" t="s">
        <v>164</v>
      </c>
      <c r="D136" t="s">
        <v>165</v>
      </c>
      <c r="E136" t="s">
        <v>166</v>
      </c>
      <c r="F136" t="s">
        <v>163</v>
      </c>
      <c r="G136" s="82">
        <v>8804</v>
      </c>
      <c r="H136" s="82">
        <v>2377.08</v>
      </c>
      <c r="I136">
        <f>YEAR(tbl_dashboard_ejm[[#This Row],[Fecha]])</f>
        <v>2021</v>
      </c>
      <c r="J136" t="str">
        <f>TEXT(tbl_dashboard_ejm[[#This Row],[Fecha]],"MMMM")</f>
        <v>mayo</v>
      </c>
      <c r="K136">
        <f>WEEKNUM(tbl_dashboard_ejm[[#This Row],[Fecha]],2)</f>
        <v>23</v>
      </c>
    </row>
    <row r="137" spans="2:11" x14ac:dyDescent="0.3">
      <c r="B137" s="67">
        <v>44347</v>
      </c>
      <c r="C137" t="s">
        <v>167</v>
      </c>
      <c r="D137" t="s">
        <v>168</v>
      </c>
      <c r="E137" t="s">
        <v>166</v>
      </c>
      <c r="F137" t="s">
        <v>169</v>
      </c>
      <c r="G137" s="82">
        <v>11270</v>
      </c>
      <c r="H137" s="82">
        <v>4169.8999999999996</v>
      </c>
      <c r="I137">
        <f>YEAR(tbl_dashboard_ejm[[#This Row],[Fecha]])</f>
        <v>2021</v>
      </c>
      <c r="J137" t="str">
        <f>TEXT(tbl_dashboard_ejm[[#This Row],[Fecha]],"MMMM")</f>
        <v>mayo</v>
      </c>
      <c r="K137">
        <f>WEEKNUM(tbl_dashboard_ejm[[#This Row],[Fecha]],2)</f>
        <v>23</v>
      </c>
    </row>
    <row r="138" spans="2:11" x14ac:dyDescent="0.3">
      <c r="B138" s="67">
        <v>44347</v>
      </c>
      <c r="C138" t="s">
        <v>170</v>
      </c>
      <c r="D138" t="s">
        <v>161</v>
      </c>
      <c r="E138" t="s">
        <v>162</v>
      </c>
      <c r="F138" t="s">
        <v>169</v>
      </c>
      <c r="G138" s="82">
        <v>8678</v>
      </c>
      <c r="H138" s="82">
        <v>1909.16</v>
      </c>
      <c r="I138">
        <f>YEAR(tbl_dashboard_ejm[[#This Row],[Fecha]])</f>
        <v>2021</v>
      </c>
      <c r="J138" t="str">
        <f>TEXT(tbl_dashboard_ejm[[#This Row],[Fecha]],"MMMM")</f>
        <v>mayo</v>
      </c>
      <c r="K138">
        <f>WEEKNUM(tbl_dashboard_ejm[[#This Row],[Fecha]],2)</f>
        <v>23</v>
      </c>
    </row>
    <row r="139" spans="2:11" x14ac:dyDescent="0.3">
      <c r="B139" s="67">
        <v>44347</v>
      </c>
      <c r="C139" t="s">
        <v>171</v>
      </c>
      <c r="D139" t="s">
        <v>165</v>
      </c>
      <c r="E139" t="s">
        <v>166</v>
      </c>
      <c r="F139" t="s">
        <v>163</v>
      </c>
      <c r="G139" s="82">
        <v>11166</v>
      </c>
      <c r="H139" s="82">
        <v>4913.04</v>
      </c>
      <c r="I139">
        <f>YEAR(tbl_dashboard_ejm[[#This Row],[Fecha]])</f>
        <v>2021</v>
      </c>
      <c r="J139" t="str">
        <f>TEXT(tbl_dashboard_ejm[[#This Row],[Fecha]],"MMMM")</f>
        <v>mayo</v>
      </c>
      <c r="K139">
        <f>WEEKNUM(tbl_dashboard_ejm[[#This Row],[Fecha]],2)</f>
        <v>23</v>
      </c>
    </row>
    <row r="140" spans="2:11" x14ac:dyDescent="0.3">
      <c r="B140" s="67">
        <v>44347</v>
      </c>
      <c r="C140" t="s">
        <v>172</v>
      </c>
      <c r="D140" t="s">
        <v>165</v>
      </c>
      <c r="E140" t="s">
        <v>166</v>
      </c>
      <c r="F140" t="s">
        <v>163</v>
      </c>
      <c r="G140" s="82">
        <v>11370</v>
      </c>
      <c r="H140" s="82">
        <v>2728.8</v>
      </c>
      <c r="I140">
        <f>YEAR(tbl_dashboard_ejm[[#This Row],[Fecha]])</f>
        <v>2021</v>
      </c>
      <c r="J140" t="str">
        <f>TEXT(tbl_dashboard_ejm[[#This Row],[Fecha]],"MMMM")</f>
        <v>mayo</v>
      </c>
      <c r="K140">
        <f>WEEKNUM(tbl_dashboard_ejm[[#This Row],[Fecha]],2)</f>
        <v>23</v>
      </c>
    </row>
    <row r="141" spans="2:11" x14ac:dyDescent="0.3">
      <c r="B141" s="67">
        <v>44346</v>
      </c>
      <c r="C141" t="s">
        <v>173</v>
      </c>
      <c r="D141" t="s">
        <v>161</v>
      </c>
      <c r="E141" t="s">
        <v>166</v>
      </c>
      <c r="F141" t="s">
        <v>169</v>
      </c>
      <c r="G141" s="82">
        <v>5564</v>
      </c>
      <c r="H141" s="82">
        <v>1279.72</v>
      </c>
      <c r="I141">
        <f>YEAR(tbl_dashboard_ejm[[#This Row],[Fecha]])</f>
        <v>2021</v>
      </c>
      <c r="J141" t="str">
        <f>TEXT(tbl_dashboard_ejm[[#This Row],[Fecha]],"MMMM")</f>
        <v>mayo</v>
      </c>
      <c r="K141">
        <f>WEEKNUM(tbl_dashboard_ejm[[#This Row],[Fecha]],2)</f>
        <v>22</v>
      </c>
    </row>
    <row r="142" spans="2:11" x14ac:dyDescent="0.3">
      <c r="B142" s="67">
        <v>44342</v>
      </c>
      <c r="C142" t="s">
        <v>174</v>
      </c>
      <c r="D142" t="s">
        <v>165</v>
      </c>
      <c r="E142" t="s">
        <v>166</v>
      </c>
      <c r="F142" t="s">
        <v>163</v>
      </c>
      <c r="G142" s="82">
        <v>3646</v>
      </c>
      <c r="H142" s="82">
        <v>1494.86</v>
      </c>
      <c r="I142">
        <f>YEAR(tbl_dashboard_ejm[[#This Row],[Fecha]])</f>
        <v>2021</v>
      </c>
      <c r="J142" t="str">
        <f>TEXT(tbl_dashboard_ejm[[#This Row],[Fecha]],"MMMM")</f>
        <v>mayo</v>
      </c>
      <c r="K142">
        <f>WEEKNUM(tbl_dashboard_ejm[[#This Row],[Fecha]],2)</f>
        <v>22</v>
      </c>
    </row>
    <row r="143" spans="2:11" x14ac:dyDescent="0.3">
      <c r="B143" s="67">
        <v>44341</v>
      </c>
      <c r="C143" t="s">
        <v>175</v>
      </c>
      <c r="D143" t="s">
        <v>168</v>
      </c>
      <c r="E143" t="s">
        <v>166</v>
      </c>
      <c r="F143" t="s">
        <v>169</v>
      </c>
      <c r="G143" s="82">
        <v>4850</v>
      </c>
      <c r="H143" s="82">
        <v>1261</v>
      </c>
      <c r="I143">
        <f>YEAR(tbl_dashboard_ejm[[#This Row],[Fecha]])</f>
        <v>2021</v>
      </c>
      <c r="J143" t="str">
        <f>TEXT(tbl_dashboard_ejm[[#This Row],[Fecha]],"MMMM")</f>
        <v>mayo</v>
      </c>
      <c r="K143">
        <f>WEEKNUM(tbl_dashboard_ejm[[#This Row],[Fecha]],2)</f>
        <v>22</v>
      </c>
    </row>
    <row r="144" spans="2:11" x14ac:dyDescent="0.3">
      <c r="B144" s="67">
        <v>44341</v>
      </c>
      <c r="C144" t="s">
        <v>176</v>
      </c>
      <c r="D144" t="s">
        <v>161</v>
      </c>
      <c r="E144" t="s">
        <v>166</v>
      </c>
      <c r="F144" t="s">
        <v>169</v>
      </c>
      <c r="G144" s="82">
        <v>6180</v>
      </c>
      <c r="H144" s="82">
        <v>1421.4</v>
      </c>
      <c r="I144">
        <f>YEAR(tbl_dashboard_ejm[[#This Row],[Fecha]])</f>
        <v>2021</v>
      </c>
      <c r="J144" t="str">
        <f>TEXT(tbl_dashboard_ejm[[#This Row],[Fecha]],"MMMM")</f>
        <v>mayo</v>
      </c>
      <c r="K144">
        <f>WEEKNUM(tbl_dashboard_ejm[[#This Row],[Fecha]],2)</f>
        <v>22</v>
      </c>
    </row>
    <row r="145" spans="2:11" x14ac:dyDescent="0.3">
      <c r="B145" s="67">
        <v>44341</v>
      </c>
      <c r="C145" t="s">
        <v>177</v>
      </c>
      <c r="D145" t="s">
        <v>165</v>
      </c>
      <c r="E145" t="s">
        <v>162</v>
      </c>
      <c r="F145" t="s">
        <v>169</v>
      </c>
      <c r="G145" s="82">
        <v>10351</v>
      </c>
      <c r="H145" s="82">
        <v>2070.1999999999998</v>
      </c>
      <c r="I145">
        <f>YEAR(tbl_dashboard_ejm[[#This Row],[Fecha]])</f>
        <v>2021</v>
      </c>
      <c r="J145" t="str">
        <f>TEXT(tbl_dashboard_ejm[[#This Row],[Fecha]],"MMMM")</f>
        <v>mayo</v>
      </c>
      <c r="K145">
        <f>WEEKNUM(tbl_dashboard_ejm[[#This Row],[Fecha]],2)</f>
        <v>22</v>
      </c>
    </row>
    <row r="146" spans="2:11" x14ac:dyDescent="0.3">
      <c r="B146" s="67">
        <v>44341</v>
      </c>
      <c r="C146" t="s">
        <v>178</v>
      </c>
      <c r="D146" t="s">
        <v>168</v>
      </c>
      <c r="E146" t="s">
        <v>162</v>
      </c>
      <c r="F146" t="s">
        <v>169</v>
      </c>
      <c r="G146" s="82">
        <v>11339</v>
      </c>
      <c r="H146" s="82">
        <v>4648.99</v>
      </c>
      <c r="I146">
        <f>YEAR(tbl_dashboard_ejm[[#This Row],[Fecha]])</f>
        <v>2021</v>
      </c>
      <c r="J146" t="str">
        <f>TEXT(tbl_dashboard_ejm[[#This Row],[Fecha]],"MMMM")</f>
        <v>mayo</v>
      </c>
      <c r="K146">
        <f>WEEKNUM(tbl_dashboard_ejm[[#This Row],[Fecha]],2)</f>
        <v>22</v>
      </c>
    </row>
    <row r="147" spans="2:11" x14ac:dyDescent="0.3">
      <c r="B147" s="67">
        <v>44340</v>
      </c>
      <c r="C147" t="s">
        <v>179</v>
      </c>
      <c r="D147" t="s">
        <v>168</v>
      </c>
      <c r="E147" t="s">
        <v>166</v>
      </c>
      <c r="F147" t="s">
        <v>169</v>
      </c>
      <c r="G147" s="82">
        <v>4364</v>
      </c>
      <c r="H147" s="82">
        <v>1221.92</v>
      </c>
      <c r="I147">
        <f>YEAR(tbl_dashboard_ejm[[#This Row],[Fecha]])</f>
        <v>2021</v>
      </c>
      <c r="J147" t="str">
        <f>TEXT(tbl_dashboard_ejm[[#This Row],[Fecha]],"MMMM")</f>
        <v>mayo</v>
      </c>
      <c r="K147">
        <f>WEEKNUM(tbl_dashboard_ejm[[#This Row],[Fecha]],2)</f>
        <v>22</v>
      </c>
    </row>
    <row r="148" spans="2:11" x14ac:dyDescent="0.3">
      <c r="B148" s="67">
        <v>44377</v>
      </c>
      <c r="C148" t="s">
        <v>160</v>
      </c>
      <c r="D148" t="s">
        <v>165</v>
      </c>
      <c r="E148" t="s">
        <v>162</v>
      </c>
      <c r="F148" t="s">
        <v>163</v>
      </c>
      <c r="G148" s="82">
        <v>3350</v>
      </c>
      <c r="H148" s="82">
        <v>1206</v>
      </c>
      <c r="I148">
        <f>YEAR(tbl_dashboard_ejm[[#This Row],[Fecha]])</f>
        <v>2021</v>
      </c>
      <c r="J148" t="str">
        <f>TEXT(tbl_dashboard_ejm[[#This Row],[Fecha]],"MMMM")</f>
        <v>junio</v>
      </c>
      <c r="K148">
        <f>WEEKNUM(tbl_dashboard_ejm[[#This Row],[Fecha]],2)</f>
        <v>27</v>
      </c>
    </row>
    <row r="149" spans="2:11" x14ac:dyDescent="0.3">
      <c r="B149" s="67">
        <v>44377</v>
      </c>
      <c r="C149" t="s">
        <v>164</v>
      </c>
      <c r="D149" t="s">
        <v>165</v>
      </c>
      <c r="E149" t="s">
        <v>162</v>
      </c>
      <c r="F149" t="s">
        <v>163</v>
      </c>
      <c r="G149" s="82">
        <v>1485</v>
      </c>
      <c r="H149" s="82">
        <v>579.15</v>
      </c>
      <c r="I149">
        <f>YEAR(tbl_dashboard_ejm[[#This Row],[Fecha]])</f>
        <v>2021</v>
      </c>
      <c r="J149" t="str">
        <f>TEXT(tbl_dashboard_ejm[[#This Row],[Fecha]],"MMMM")</f>
        <v>junio</v>
      </c>
      <c r="K149">
        <f>WEEKNUM(tbl_dashboard_ejm[[#This Row],[Fecha]],2)</f>
        <v>27</v>
      </c>
    </row>
    <row r="150" spans="2:11" x14ac:dyDescent="0.3">
      <c r="B150" s="67">
        <v>44377</v>
      </c>
      <c r="C150" t="s">
        <v>167</v>
      </c>
      <c r="D150" t="s">
        <v>165</v>
      </c>
      <c r="E150" t="s">
        <v>162</v>
      </c>
      <c r="F150" t="s">
        <v>169</v>
      </c>
      <c r="G150" s="82">
        <v>11121</v>
      </c>
      <c r="H150" s="82">
        <v>2669.04</v>
      </c>
      <c r="I150">
        <f>YEAR(tbl_dashboard_ejm[[#This Row],[Fecha]])</f>
        <v>2021</v>
      </c>
      <c r="J150" t="str">
        <f>TEXT(tbl_dashboard_ejm[[#This Row],[Fecha]],"MMMM")</f>
        <v>junio</v>
      </c>
      <c r="K150">
        <f>WEEKNUM(tbl_dashboard_ejm[[#This Row],[Fecha]],2)</f>
        <v>27</v>
      </c>
    </row>
    <row r="151" spans="2:11" x14ac:dyDescent="0.3">
      <c r="B151" s="67">
        <v>44377</v>
      </c>
      <c r="C151" t="s">
        <v>170</v>
      </c>
      <c r="D151" t="s">
        <v>161</v>
      </c>
      <c r="E151" t="s">
        <v>166</v>
      </c>
      <c r="F151" t="s">
        <v>169</v>
      </c>
      <c r="G151" s="82">
        <v>3908</v>
      </c>
      <c r="H151" s="82">
        <v>742.52</v>
      </c>
      <c r="I151">
        <f>YEAR(tbl_dashboard_ejm[[#This Row],[Fecha]])</f>
        <v>2021</v>
      </c>
      <c r="J151" t="str">
        <f>TEXT(tbl_dashboard_ejm[[#This Row],[Fecha]],"MMMM")</f>
        <v>junio</v>
      </c>
      <c r="K151">
        <f>WEEKNUM(tbl_dashboard_ejm[[#This Row],[Fecha]],2)</f>
        <v>27</v>
      </c>
    </row>
    <row r="152" spans="2:11" x14ac:dyDescent="0.3">
      <c r="B152" s="67">
        <v>44377</v>
      </c>
      <c r="C152" t="s">
        <v>171</v>
      </c>
      <c r="D152" t="s">
        <v>161</v>
      </c>
      <c r="E152" t="s">
        <v>162</v>
      </c>
      <c r="F152" t="s">
        <v>163</v>
      </c>
      <c r="G152" s="82">
        <v>3112</v>
      </c>
      <c r="H152" s="82">
        <v>1244.8</v>
      </c>
      <c r="I152">
        <f>YEAR(tbl_dashboard_ejm[[#This Row],[Fecha]])</f>
        <v>2021</v>
      </c>
      <c r="J152" t="str">
        <f>TEXT(tbl_dashboard_ejm[[#This Row],[Fecha]],"MMMM")</f>
        <v>junio</v>
      </c>
      <c r="K152">
        <f>WEEKNUM(tbl_dashboard_ejm[[#This Row],[Fecha]],2)</f>
        <v>27</v>
      </c>
    </row>
    <row r="153" spans="2:11" x14ac:dyDescent="0.3">
      <c r="B153" s="67">
        <v>44377</v>
      </c>
      <c r="C153" t="s">
        <v>172</v>
      </c>
      <c r="D153" t="s">
        <v>165</v>
      </c>
      <c r="E153" t="s">
        <v>162</v>
      </c>
      <c r="F153" t="s">
        <v>163</v>
      </c>
      <c r="G153" s="82">
        <v>8851</v>
      </c>
      <c r="H153" s="82">
        <v>1681.69</v>
      </c>
      <c r="I153">
        <f>YEAR(tbl_dashboard_ejm[[#This Row],[Fecha]])</f>
        <v>2021</v>
      </c>
      <c r="J153" t="str">
        <f>TEXT(tbl_dashboard_ejm[[#This Row],[Fecha]],"MMMM")</f>
        <v>junio</v>
      </c>
      <c r="K153">
        <f>WEEKNUM(tbl_dashboard_ejm[[#This Row],[Fecha]],2)</f>
        <v>27</v>
      </c>
    </row>
    <row r="154" spans="2:11" x14ac:dyDescent="0.3">
      <c r="B154" s="67">
        <v>44377</v>
      </c>
      <c r="C154" t="s">
        <v>173</v>
      </c>
      <c r="D154" t="s">
        <v>168</v>
      </c>
      <c r="E154" t="s">
        <v>166</v>
      </c>
      <c r="F154" t="s">
        <v>169</v>
      </c>
      <c r="G154" s="82">
        <v>1053</v>
      </c>
      <c r="H154" s="82">
        <v>400.14</v>
      </c>
      <c r="I154">
        <f>YEAR(tbl_dashboard_ejm[[#This Row],[Fecha]])</f>
        <v>2021</v>
      </c>
      <c r="J154" t="str">
        <f>TEXT(tbl_dashboard_ejm[[#This Row],[Fecha]],"MMMM")</f>
        <v>junio</v>
      </c>
      <c r="K154">
        <f>WEEKNUM(tbl_dashboard_ejm[[#This Row],[Fecha]],2)</f>
        <v>27</v>
      </c>
    </row>
    <row r="155" spans="2:11" x14ac:dyDescent="0.3">
      <c r="B155" s="67">
        <v>44373</v>
      </c>
      <c r="C155" t="s">
        <v>174</v>
      </c>
      <c r="D155" t="s">
        <v>168</v>
      </c>
      <c r="E155" t="s">
        <v>162</v>
      </c>
      <c r="F155" t="s">
        <v>163</v>
      </c>
      <c r="G155" s="82">
        <v>4188</v>
      </c>
      <c r="H155" s="82">
        <v>963.24</v>
      </c>
      <c r="I155">
        <f>YEAR(tbl_dashboard_ejm[[#This Row],[Fecha]])</f>
        <v>2021</v>
      </c>
      <c r="J155" t="str">
        <f>TEXT(tbl_dashboard_ejm[[#This Row],[Fecha]],"MMMM")</f>
        <v>junio</v>
      </c>
      <c r="K155">
        <f>WEEKNUM(tbl_dashboard_ejm[[#This Row],[Fecha]],2)</f>
        <v>26</v>
      </c>
    </row>
    <row r="156" spans="2:11" x14ac:dyDescent="0.3">
      <c r="B156" s="67">
        <v>44372</v>
      </c>
      <c r="C156" t="s">
        <v>175</v>
      </c>
      <c r="D156" t="s">
        <v>165</v>
      </c>
      <c r="E156" t="s">
        <v>166</v>
      </c>
      <c r="F156" t="s">
        <v>169</v>
      </c>
      <c r="G156" s="82">
        <v>4720</v>
      </c>
      <c r="H156" s="82">
        <v>991.2</v>
      </c>
      <c r="I156">
        <f>YEAR(tbl_dashboard_ejm[[#This Row],[Fecha]])</f>
        <v>2021</v>
      </c>
      <c r="J156" t="str">
        <f>TEXT(tbl_dashboard_ejm[[#This Row],[Fecha]],"MMMM")</f>
        <v>junio</v>
      </c>
      <c r="K156">
        <f>WEEKNUM(tbl_dashboard_ejm[[#This Row],[Fecha]],2)</f>
        <v>26</v>
      </c>
    </row>
    <row r="157" spans="2:11" x14ac:dyDescent="0.3">
      <c r="B157" s="67">
        <v>44372</v>
      </c>
      <c r="C157" t="s">
        <v>176</v>
      </c>
      <c r="D157" t="s">
        <v>165</v>
      </c>
      <c r="E157" t="s">
        <v>166</v>
      </c>
      <c r="F157" t="s">
        <v>169</v>
      </c>
      <c r="G157" s="82">
        <v>10814</v>
      </c>
      <c r="H157" s="82">
        <v>4650.0200000000004</v>
      </c>
      <c r="I157">
        <f>YEAR(tbl_dashboard_ejm[[#This Row],[Fecha]])</f>
        <v>2021</v>
      </c>
      <c r="J157" t="str">
        <f>TEXT(tbl_dashboard_ejm[[#This Row],[Fecha]],"MMMM")</f>
        <v>junio</v>
      </c>
      <c r="K157">
        <f>WEEKNUM(tbl_dashboard_ejm[[#This Row],[Fecha]],2)</f>
        <v>26</v>
      </c>
    </row>
    <row r="158" spans="2:11" x14ac:dyDescent="0.3">
      <c r="B158" s="67">
        <v>44372</v>
      </c>
      <c r="C158" t="s">
        <v>177</v>
      </c>
      <c r="D158" t="s">
        <v>165</v>
      </c>
      <c r="E158" t="s">
        <v>166</v>
      </c>
      <c r="F158" t="s">
        <v>169</v>
      </c>
      <c r="G158" s="82">
        <v>10115</v>
      </c>
      <c r="H158" s="82">
        <v>2427.6</v>
      </c>
      <c r="I158">
        <f>YEAR(tbl_dashboard_ejm[[#This Row],[Fecha]])</f>
        <v>2021</v>
      </c>
      <c r="J158" t="str">
        <f>TEXT(tbl_dashboard_ejm[[#This Row],[Fecha]],"MMMM")</f>
        <v>junio</v>
      </c>
      <c r="K158">
        <f>WEEKNUM(tbl_dashboard_ejm[[#This Row],[Fecha]],2)</f>
        <v>26</v>
      </c>
    </row>
    <row r="159" spans="2:11" x14ac:dyDescent="0.3">
      <c r="B159" s="67">
        <v>44372</v>
      </c>
      <c r="C159" t="s">
        <v>178</v>
      </c>
      <c r="D159" t="s">
        <v>161</v>
      </c>
      <c r="E159" t="s">
        <v>162</v>
      </c>
      <c r="F159" t="s">
        <v>169</v>
      </c>
      <c r="G159" s="82">
        <v>4742</v>
      </c>
      <c r="H159" s="82">
        <v>2086.48</v>
      </c>
      <c r="I159">
        <f>YEAR(tbl_dashboard_ejm[[#This Row],[Fecha]])</f>
        <v>2021</v>
      </c>
      <c r="J159" t="str">
        <f>TEXT(tbl_dashboard_ejm[[#This Row],[Fecha]],"MMMM")</f>
        <v>junio</v>
      </c>
      <c r="K159">
        <f>WEEKNUM(tbl_dashboard_ejm[[#This Row],[Fecha]],2)</f>
        <v>26</v>
      </c>
    </row>
    <row r="160" spans="2:11" x14ac:dyDescent="0.3">
      <c r="B160" s="67">
        <v>44371</v>
      </c>
      <c r="C160" t="s">
        <v>179</v>
      </c>
      <c r="D160" t="s">
        <v>165</v>
      </c>
      <c r="E160" t="s">
        <v>166</v>
      </c>
      <c r="F160" t="s">
        <v>169</v>
      </c>
      <c r="G160" s="82">
        <v>4330</v>
      </c>
      <c r="H160" s="82">
        <v>1948.5</v>
      </c>
      <c r="I160">
        <f>YEAR(tbl_dashboard_ejm[[#This Row],[Fecha]])</f>
        <v>2021</v>
      </c>
      <c r="J160" t="str">
        <f>TEXT(tbl_dashboard_ejm[[#This Row],[Fecha]],"MMMM")</f>
        <v>junio</v>
      </c>
      <c r="K160">
        <f>WEEKNUM(tbl_dashboard_ejm[[#This Row],[Fecha]],2)</f>
        <v>26</v>
      </c>
    </row>
    <row r="161" spans="2:11" x14ac:dyDescent="0.3">
      <c r="B161" s="67">
        <v>44371</v>
      </c>
      <c r="C161" t="s">
        <v>180</v>
      </c>
      <c r="D161" t="s">
        <v>165</v>
      </c>
      <c r="E161" t="s">
        <v>162</v>
      </c>
      <c r="F161" t="s">
        <v>163</v>
      </c>
      <c r="G161" s="82">
        <v>3056</v>
      </c>
      <c r="H161" s="82">
        <v>947.36</v>
      </c>
      <c r="I161">
        <f>YEAR(tbl_dashboard_ejm[[#This Row],[Fecha]])</f>
        <v>2021</v>
      </c>
      <c r="J161" t="str">
        <f>TEXT(tbl_dashboard_ejm[[#This Row],[Fecha]],"MMMM")</f>
        <v>junio</v>
      </c>
      <c r="K161">
        <f>WEEKNUM(tbl_dashboard_ejm[[#This Row],[Fecha]],2)</f>
        <v>26</v>
      </c>
    </row>
    <row r="162" spans="2:11" x14ac:dyDescent="0.3">
      <c r="B162" s="67">
        <v>44371</v>
      </c>
      <c r="C162" t="s">
        <v>181</v>
      </c>
      <c r="D162" t="s">
        <v>168</v>
      </c>
      <c r="E162" t="s">
        <v>162</v>
      </c>
      <c r="F162" t="s">
        <v>163</v>
      </c>
      <c r="G162" s="82">
        <v>3499</v>
      </c>
      <c r="H162" s="82">
        <v>979.72</v>
      </c>
      <c r="I162">
        <f>YEAR(tbl_dashboard_ejm[[#This Row],[Fecha]])</f>
        <v>2021</v>
      </c>
      <c r="J162" t="str">
        <f>TEXT(tbl_dashboard_ejm[[#This Row],[Fecha]],"MMMM")</f>
        <v>junio</v>
      </c>
      <c r="K162">
        <f>WEEKNUM(tbl_dashboard_ejm[[#This Row],[Fecha]],2)</f>
        <v>26</v>
      </c>
    </row>
    <row r="163" spans="2:11" x14ac:dyDescent="0.3">
      <c r="B163" s="67">
        <v>44408</v>
      </c>
      <c r="C163" t="s">
        <v>160</v>
      </c>
      <c r="D163" t="s">
        <v>165</v>
      </c>
      <c r="E163" t="s">
        <v>162</v>
      </c>
      <c r="F163" t="s">
        <v>169</v>
      </c>
      <c r="G163" s="82">
        <v>7707</v>
      </c>
      <c r="H163" s="82">
        <v>2774.52</v>
      </c>
      <c r="I163">
        <f>YEAR(tbl_dashboard_ejm[[#This Row],[Fecha]])</f>
        <v>2021</v>
      </c>
      <c r="J163" t="str">
        <f>TEXT(tbl_dashboard_ejm[[#This Row],[Fecha]],"MMMM")</f>
        <v>julio</v>
      </c>
      <c r="K163">
        <f>WEEKNUM(tbl_dashboard_ejm[[#This Row],[Fecha]],2)</f>
        <v>31</v>
      </c>
    </row>
    <row r="164" spans="2:11" x14ac:dyDescent="0.3">
      <c r="B164" s="67">
        <v>44408</v>
      </c>
      <c r="C164" t="s">
        <v>164</v>
      </c>
      <c r="D164" t="s">
        <v>161</v>
      </c>
      <c r="E164" t="s">
        <v>162</v>
      </c>
      <c r="F164" t="s">
        <v>169</v>
      </c>
      <c r="G164" s="82">
        <v>3942</v>
      </c>
      <c r="H164" s="82">
        <v>591.29999999999995</v>
      </c>
      <c r="I164">
        <f>YEAR(tbl_dashboard_ejm[[#This Row],[Fecha]])</f>
        <v>2021</v>
      </c>
      <c r="J164" t="str">
        <f>TEXT(tbl_dashboard_ejm[[#This Row],[Fecha]],"MMMM")</f>
        <v>julio</v>
      </c>
      <c r="K164">
        <f>WEEKNUM(tbl_dashboard_ejm[[#This Row],[Fecha]],2)</f>
        <v>31</v>
      </c>
    </row>
    <row r="165" spans="2:11" x14ac:dyDescent="0.3">
      <c r="B165" s="67">
        <v>44408</v>
      </c>
      <c r="C165" t="s">
        <v>167</v>
      </c>
      <c r="D165" t="s">
        <v>161</v>
      </c>
      <c r="E165" t="s">
        <v>166</v>
      </c>
      <c r="F165" t="s">
        <v>163</v>
      </c>
      <c r="G165" s="82">
        <v>2600</v>
      </c>
      <c r="H165" s="82">
        <v>494</v>
      </c>
      <c r="I165">
        <f>YEAR(tbl_dashboard_ejm[[#This Row],[Fecha]])</f>
        <v>2021</v>
      </c>
      <c r="J165" t="str">
        <f>TEXT(tbl_dashboard_ejm[[#This Row],[Fecha]],"MMMM")</f>
        <v>julio</v>
      </c>
      <c r="K165">
        <f>WEEKNUM(tbl_dashboard_ejm[[#This Row],[Fecha]],2)</f>
        <v>31</v>
      </c>
    </row>
    <row r="166" spans="2:11" x14ac:dyDescent="0.3">
      <c r="B166" s="67">
        <v>44408</v>
      </c>
      <c r="C166" t="s">
        <v>170</v>
      </c>
      <c r="D166" t="s">
        <v>161</v>
      </c>
      <c r="E166" t="s">
        <v>162</v>
      </c>
      <c r="F166" t="s">
        <v>163</v>
      </c>
      <c r="G166" s="82">
        <v>1804</v>
      </c>
      <c r="H166" s="82">
        <v>487.08</v>
      </c>
      <c r="I166">
        <f>YEAR(tbl_dashboard_ejm[[#This Row],[Fecha]])</f>
        <v>2021</v>
      </c>
      <c r="J166" t="str">
        <f>TEXT(tbl_dashboard_ejm[[#This Row],[Fecha]],"MMMM")</f>
        <v>julio</v>
      </c>
      <c r="K166">
        <f>WEEKNUM(tbl_dashboard_ejm[[#This Row],[Fecha]],2)</f>
        <v>31</v>
      </c>
    </row>
    <row r="167" spans="2:11" x14ac:dyDescent="0.3">
      <c r="B167" s="67">
        <v>44407</v>
      </c>
      <c r="C167" t="s">
        <v>171</v>
      </c>
      <c r="D167" t="s">
        <v>168</v>
      </c>
      <c r="E167" t="s">
        <v>166</v>
      </c>
      <c r="F167" t="s">
        <v>169</v>
      </c>
      <c r="G167" s="82">
        <v>2450</v>
      </c>
      <c r="H167" s="82">
        <v>661.5</v>
      </c>
      <c r="I167">
        <f>YEAR(tbl_dashboard_ejm[[#This Row],[Fecha]])</f>
        <v>2021</v>
      </c>
      <c r="J167" t="str">
        <f>TEXT(tbl_dashboard_ejm[[#This Row],[Fecha]],"MMMM")</f>
        <v>julio</v>
      </c>
      <c r="K167">
        <f>WEEKNUM(tbl_dashboard_ejm[[#This Row],[Fecha]],2)</f>
        <v>31</v>
      </c>
    </row>
    <row r="168" spans="2:11" x14ac:dyDescent="0.3">
      <c r="B168" s="67">
        <v>44403</v>
      </c>
      <c r="C168" t="s">
        <v>172</v>
      </c>
      <c r="D168" t="s">
        <v>161</v>
      </c>
      <c r="E168" t="s">
        <v>166</v>
      </c>
      <c r="F168" t="s">
        <v>163</v>
      </c>
      <c r="G168" s="82">
        <v>2087</v>
      </c>
      <c r="H168" s="82">
        <v>646.97</v>
      </c>
      <c r="I168">
        <f>YEAR(tbl_dashboard_ejm[[#This Row],[Fecha]])</f>
        <v>2021</v>
      </c>
      <c r="J168" t="str">
        <f>TEXT(tbl_dashboard_ejm[[#This Row],[Fecha]],"MMMM")</f>
        <v>julio</v>
      </c>
      <c r="K168">
        <f>WEEKNUM(tbl_dashboard_ejm[[#This Row],[Fecha]],2)</f>
        <v>31</v>
      </c>
    </row>
    <row r="169" spans="2:11" x14ac:dyDescent="0.3">
      <c r="B169" s="67">
        <v>44402</v>
      </c>
      <c r="C169" t="s">
        <v>173</v>
      </c>
      <c r="D169" t="s">
        <v>161</v>
      </c>
      <c r="E169" t="s">
        <v>162</v>
      </c>
      <c r="F169" t="s">
        <v>169</v>
      </c>
      <c r="G169" s="82">
        <v>4420</v>
      </c>
      <c r="H169" s="82">
        <v>1856.4</v>
      </c>
      <c r="I169">
        <f>YEAR(tbl_dashboard_ejm[[#This Row],[Fecha]])</f>
        <v>2021</v>
      </c>
      <c r="J169" t="str">
        <f>TEXT(tbl_dashboard_ejm[[#This Row],[Fecha]],"MMMM")</f>
        <v>julio</v>
      </c>
      <c r="K169">
        <f>WEEKNUM(tbl_dashboard_ejm[[#This Row],[Fecha]],2)</f>
        <v>30</v>
      </c>
    </row>
    <row r="170" spans="2:11" x14ac:dyDescent="0.3">
      <c r="B170" s="67">
        <v>44402</v>
      </c>
      <c r="C170" t="s">
        <v>174</v>
      </c>
      <c r="D170" t="s">
        <v>168</v>
      </c>
      <c r="E170" t="s">
        <v>162</v>
      </c>
      <c r="F170" t="s">
        <v>169</v>
      </c>
      <c r="G170" s="82">
        <v>1214</v>
      </c>
      <c r="H170" s="82">
        <v>352.06</v>
      </c>
      <c r="I170">
        <f>YEAR(tbl_dashboard_ejm[[#This Row],[Fecha]])</f>
        <v>2021</v>
      </c>
      <c r="J170" t="str">
        <f>TEXT(tbl_dashboard_ejm[[#This Row],[Fecha]],"MMMM")</f>
        <v>julio</v>
      </c>
      <c r="K170">
        <f>WEEKNUM(tbl_dashboard_ejm[[#This Row],[Fecha]],2)</f>
        <v>30</v>
      </c>
    </row>
    <row r="171" spans="2:11" x14ac:dyDescent="0.3">
      <c r="B171" s="67">
        <v>44402</v>
      </c>
      <c r="C171" t="s">
        <v>175</v>
      </c>
      <c r="D171" t="s">
        <v>161</v>
      </c>
      <c r="E171" t="s">
        <v>162</v>
      </c>
      <c r="F171" t="s">
        <v>169</v>
      </c>
      <c r="G171" s="82">
        <v>10818</v>
      </c>
      <c r="H171" s="82">
        <v>4543.5600000000004</v>
      </c>
      <c r="I171">
        <f>YEAR(tbl_dashboard_ejm[[#This Row],[Fecha]])</f>
        <v>2021</v>
      </c>
      <c r="J171" t="str">
        <f>TEXT(tbl_dashboard_ejm[[#This Row],[Fecha]],"MMMM")</f>
        <v>julio</v>
      </c>
      <c r="K171">
        <f>WEEKNUM(tbl_dashboard_ejm[[#This Row],[Fecha]],2)</f>
        <v>30</v>
      </c>
    </row>
    <row r="172" spans="2:11" x14ac:dyDescent="0.3">
      <c r="B172" s="67">
        <v>44402</v>
      </c>
      <c r="C172" t="s">
        <v>176</v>
      </c>
      <c r="D172" t="s">
        <v>168</v>
      </c>
      <c r="E172" t="s">
        <v>166</v>
      </c>
      <c r="F172" t="s">
        <v>169</v>
      </c>
      <c r="G172" s="82">
        <v>7848</v>
      </c>
      <c r="H172" s="82">
        <v>2354.4</v>
      </c>
      <c r="I172">
        <f>YEAR(tbl_dashboard_ejm[[#This Row],[Fecha]])</f>
        <v>2021</v>
      </c>
      <c r="J172" t="str">
        <f>TEXT(tbl_dashboard_ejm[[#This Row],[Fecha]],"MMMM")</f>
        <v>julio</v>
      </c>
      <c r="K172">
        <f>WEEKNUM(tbl_dashboard_ejm[[#This Row],[Fecha]],2)</f>
        <v>30</v>
      </c>
    </row>
    <row r="173" spans="2:11" x14ac:dyDescent="0.3">
      <c r="B173" s="67">
        <v>44401</v>
      </c>
      <c r="C173" t="s">
        <v>177</v>
      </c>
      <c r="D173" t="s">
        <v>168</v>
      </c>
      <c r="E173" t="s">
        <v>162</v>
      </c>
      <c r="F173" t="s">
        <v>169</v>
      </c>
      <c r="G173" s="82">
        <v>2382</v>
      </c>
      <c r="H173" s="82">
        <v>952.8</v>
      </c>
      <c r="I173">
        <f>YEAR(tbl_dashboard_ejm[[#This Row],[Fecha]])</f>
        <v>2021</v>
      </c>
      <c r="J173" t="str">
        <f>TEXT(tbl_dashboard_ejm[[#This Row],[Fecha]],"MMMM")</f>
        <v>julio</v>
      </c>
      <c r="K173">
        <f>WEEKNUM(tbl_dashboard_ejm[[#This Row],[Fecha]],2)</f>
        <v>30</v>
      </c>
    </row>
    <row r="174" spans="2:11" x14ac:dyDescent="0.3">
      <c r="B174" s="67">
        <v>44407</v>
      </c>
      <c r="C174" t="s">
        <v>178</v>
      </c>
      <c r="D174" t="s">
        <v>168</v>
      </c>
      <c r="E174" t="s">
        <v>162</v>
      </c>
      <c r="F174" t="s">
        <v>163</v>
      </c>
      <c r="G174" s="82">
        <v>10228</v>
      </c>
      <c r="H174" s="82">
        <v>3068.4</v>
      </c>
      <c r="I174">
        <f>YEAR(tbl_dashboard_ejm[[#This Row],[Fecha]])</f>
        <v>2021</v>
      </c>
      <c r="J174" t="str">
        <f>TEXT(tbl_dashboard_ejm[[#This Row],[Fecha]],"MMMM")</f>
        <v>julio</v>
      </c>
      <c r="K174">
        <f>WEEKNUM(tbl_dashboard_ejm[[#This Row],[Fecha]],2)</f>
        <v>31</v>
      </c>
    </row>
    <row r="175" spans="2:11" x14ac:dyDescent="0.3">
      <c r="B175" s="67">
        <v>44407</v>
      </c>
      <c r="C175" t="s">
        <v>179</v>
      </c>
      <c r="D175" t="s">
        <v>168</v>
      </c>
      <c r="E175" t="s">
        <v>166</v>
      </c>
      <c r="F175" t="s">
        <v>163</v>
      </c>
      <c r="G175" s="82">
        <v>6054</v>
      </c>
      <c r="H175" s="82">
        <v>1089.72</v>
      </c>
      <c r="I175">
        <f>YEAR(tbl_dashboard_ejm[[#This Row],[Fecha]])</f>
        <v>2021</v>
      </c>
      <c r="J175" t="str">
        <f>TEXT(tbl_dashboard_ejm[[#This Row],[Fecha]],"MMMM")</f>
        <v>julio</v>
      </c>
      <c r="K175">
        <f>WEEKNUM(tbl_dashboard_ejm[[#This Row],[Fecha]],2)</f>
        <v>31</v>
      </c>
    </row>
    <row r="176" spans="2:11" x14ac:dyDescent="0.3">
      <c r="B176" s="67">
        <v>44407</v>
      </c>
      <c r="C176" t="s">
        <v>180</v>
      </c>
      <c r="D176" t="s">
        <v>165</v>
      </c>
      <c r="E176" t="s">
        <v>162</v>
      </c>
      <c r="F176" t="s">
        <v>169</v>
      </c>
      <c r="G176" s="82">
        <v>7117</v>
      </c>
      <c r="H176" s="82">
        <v>2348.61</v>
      </c>
      <c r="I176">
        <f>YEAR(tbl_dashboard_ejm[[#This Row],[Fecha]])</f>
        <v>2021</v>
      </c>
      <c r="J176" t="str">
        <f>TEXT(tbl_dashboard_ejm[[#This Row],[Fecha]],"MMMM")</f>
        <v>julio</v>
      </c>
      <c r="K176">
        <f>WEEKNUM(tbl_dashboard_ejm[[#This Row],[Fecha]],2)</f>
        <v>31</v>
      </c>
    </row>
    <row r="177" spans="2:11" x14ac:dyDescent="0.3">
      <c r="B177" s="67">
        <v>44407</v>
      </c>
      <c r="C177" t="s">
        <v>181</v>
      </c>
      <c r="D177" t="s">
        <v>168</v>
      </c>
      <c r="E177" t="s">
        <v>166</v>
      </c>
      <c r="F177" t="s">
        <v>169</v>
      </c>
      <c r="G177" s="82">
        <v>7652</v>
      </c>
      <c r="H177" s="82">
        <v>1147.8</v>
      </c>
      <c r="I177">
        <f>YEAR(tbl_dashboard_ejm[[#This Row],[Fecha]])</f>
        <v>2021</v>
      </c>
      <c r="J177" t="str">
        <f>TEXT(tbl_dashboard_ejm[[#This Row],[Fecha]],"MMMM")</f>
        <v>julio</v>
      </c>
      <c r="K177">
        <f>WEEKNUM(tbl_dashboard_ejm[[#This Row],[Fecha]],2)</f>
        <v>31</v>
      </c>
    </row>
    <row r="178" spans="2:11" x14ac:dyDescent="0.3">
      <c r="B178" s="67">
        <v>44407</v>
      </c>
      <c r="C178" t="s">
        <v>182</v>
      </c>
      <c r="D178" t="s">
        <v>161</v>
      </c>
      <c r="E178" t="s">
        <v>166</v>
      </c>
      <c r="F178" t="s">
        <v>163</v>
      </c>
      <c r="G178" s="82">
        <v>4976</v>
      </c>
      <c r="H178" s="82">
        <v>1741.6</v>
      </c>
      <c r="I178">
        <f>YEAR(tbl_dashboard_ejm[[#This Row],[Fecha]])</f>
        <v>2021</v>
      </c>
      <c r="J178" t="str">
        <f>TEXT(tbl_dashboard_ejm[[#This Row],[Fecha]],"MMMM")</f>
        <v>julio</v>
      </c>
      <c r="K178">
        <f>WEEKNUM(tbl_dashboard_ejm[[#This Row],[Fecha]],2)</f>
        <v>31</v>
      </c>
    </row>
    <row r="179" spans="2:11" x14ac:dyDescent="0.3">
      <c r="B179" s="67">
        <v>44407</v>
      </c>
      <c r="C179" t="s">
        <v>183</v>
      </c>
      <c r="D179" t="s">
        <v>165</v>
      </c>
      <c r="E179" t="s">
        <v>166</v>
      </c>
      <c r="F179" t="s">
        <v>163</v>
      </c>
      <c r="G179" s="82">
        <v>1250</v>
      </c>
      <c r="H179" s="82">
        <v>287.5</v>
      </c>
      <c r="I179">
        <f>YEAR(tbl_dashboard_ejm[[#This Row],[Fecha]])</f>
        <v>2021</v>
      </c>
      <c r="J179" t="str">
        <f>TEXT(tbl_dashboard_ejm[[#This Row],[Fecha]],"MMMM")</f>
        <v>julio</v>
      </c>
      <c r="K179">
        <f>WEEKNUM(tbl_dashboard_ejm[[#This Row],[Fecha]],2)</f>
        <v>31</v>
      </c>
    </row>
    <row r="180" spans="2:11" x14ac:dyDescent="0.3">
      <c r="B180" s="67">
        <v>44407</v>
      </c>
      <c r="C180" t="s">
        <v>184</v>
      </c>
      <c r="D180" t="s">
        <v>168</v>
      </c>
      <c r="E180" t="s">
        <v>166</v>
      </c>
      <c r="F180" t="s">
        <v>169</v>
      </c>
      <c r="G180" s="82">
        <v>1243</v>
      </c>
      <c r="H180" s="82">
        <v>546.91999999999996</v>
      </c>
      <c r="I180">
        <f>YEAR(tbl_dashboard_ejm[[#This Row],[Fecha]])</f>
        <v>2021</v>
      </c>
      <c r="J180" t="str">
        <f>TEXT(tbl_dashboard_ejm[[#This Row],[Fecha]],"MMMM")</f>
        <v>julio</v>
      </c>
      <c r="K180">
        <f>WEEKNUM(tbl_dashboard_ejm[[#This Row],[Fecha]],2)</f>
        <v>31</v>
      </c>
    </row>
    <row r="181" spans="2:11" x14ac:dyDescent="0.3">
      <c r="B181" s="67">
        <v>44403</v>
      </c>
      <c r="C181" t="s">
        <v>185</v>
      </c>
      <c r="D181" t="s">
        <v>165</v>
      </c>
      <c r="E181" t="s">
        <v>162</v>
      </c>
      <c r="F181" t="s">
        <v>163</v>
      </c>
      <c r="G181" s="82">
        <v>11224</v>
      </c>
      <c r="H181" s="82">
        <v>2806</v>
      </c>
      <c r="I181">
        <f>YEAR(tbl_dashboard_ejm[[#This Row],[Fecha]])</f>
        <v>2021</v>
      </c>
      <c r="J181" t="str">
        <f>TEXT(tbl_dashboard_ejm[[#This Row],[Fecha]],"MMMM")</f>
        <v>julio</v>
      </c>
      <c r="K181">
        <f>WEEKNUM(tbl_dashboard_ejm[[#This Row],[Fecha]],2)</f>
        <v>31</v>
      </c>
    </row>
    <row r="182" spans="2:11" x14ac:dyDescent="0.3">
      <c r="B182" s="67">
        <v>44402</v>
      </c>
      <c r="C182" t="s">
        <v>186</v>
      </c>
      <c r="D182" t="s">
        <v>165</v>
      </c>
      <c r="E182" t="s">
        <v>162</v>
      </c>
      <c r="F182" t="s">
        <v>169</v>
      </c>
      <c r="G182" s="82">
        <v>10457</v>
      </c>
      <c r="H182" s="82">
        <v>3764.52</v>
      </c>
      <c r="I182">
        <f>YEAR(tbl_dashboard_ejm[[#This Row],[Fecha]])</f>
        <v>2021</v>
      </c>
      <c r="J182" t="str">
        <f>TEXT(tbl_dashboard_ejm[[#This Row],[Fecha]],"MMMM")</f>
        <v>julio</v>
      </c>
      <c r="K182">
        <f>WEEKNUM(tbl_dashboard_ejm[[#This Row],[Fecha]],2)</f>
        <v>30</v>
      </c>
    </row>
    <row r="183" spans="2:11" x14ac:dyDescent="0.3">
      <c r="B183" s="67">
        <v>44402</v>
      </c>
      <c r="C183" t="s">
        <v>187</v>
      </c>
      <c r="D183" t="s">
        <v>165</v>
      </c>
      <c r="E183" t="s">
        <v>162</v>
      </c>
      <c r="F183" t="s">
        <v>169</v>
      </c>
      <c r="G183" s="82">
        <v>5309</v>
      </c>
      <c r="H183" s="82">
        <v>1539.61</v>
      </c>
      <c r="I183">
        <f>YEAR(tbl_dashboard_ejm[[#This Row],[Fecha]])</f>
        <v>2021</v>
      </c>
      <c r="J183" t="str">
        <f>TEXT(tbl_dashboard_ejm[[#This Row],[Fecha]],"MMMM")</f>
        <v>julio</v>
      </c>
      <c r="K183">
        <f>WEEKNUM(tbl_dashboard_ejm[[#This Row],[Fecha]],2)</f>
        <v>30</v>
      </c>
    </row>
    <row r="184" spans="2:11" x14ac:dyDescent="0.3">
      <c r="B184" s="67">
        <v>44402</v>
      </c>
      <c r="C184" t="s">
        <v>188</v>
      </c>
      <c r="D184" t="s">
        <v>161</v>
      </c>
      <c r="E184" t="s">
        <v>166</v>
      </c>
      <c r="F184" t="s">
        <v>169</v>
      </c>
      <c r="G184" s="82">
        <v>9027</v>
      </c>
      <c r="H184" s="82">
        <v>1534.59</v>
      </c>
      <c r="I184">
        <f>YEAR(tbl_dashboard_ejm[[#This Row],[Fecha]])</f>
        <v>2021</v>
      </c>
      <c r="J184" t="str">
        <f>TEXT(tbl_dashboard_ejm[[#This Row],[Fecha]],"MMMM")</f>
        <v>julio</v>
      </c>
      <c r="K184">
        <f>WEEKNUM(tbl_dashboard_ejm[[#This Row],[Fecha]],2)</f>
        <v>30</v>
      </c>
    </row>
    <row r="185" spans="2:11" x14ac:dyDescent="0.3">
      <c r="B185" s="67">
        <v>44402</v>
      </c>
      <c r="C185" t="s">
        <v>189</v>
      </c>
      <c r="D185" t="s">
        <v>165</v>
      </c>
      <c r="E185" t="s">
        <v>166</v>
      </c>
      <c r="F185" t="s">
        <v>169</v>
      </c>
      <c r="G185" s="82">
        <v>8025</v>
      </c>
      <c r="H185" s="82">
        <v>2327.25</v>
      </c>
      <c r="I185">
        <f>YEAR(tbl_dashboard_ejm[[#This Row],[Fecha]])</f>
        <v>2021</v>
      </c>
      <c r="J185" t="str">
        <f>TEXT(tbl_dashboard_ejm[[#This Row],[Fecha]],"MMMM")</f>
        <v>julio</v>
      </c>
      <c r="K185">
        <f>WEEKNUM(tbl_dashboard_ejm[[#This Row],[Fecha]],2)</f>
        <v>30</v>
      </c>
    </row>
    <row r="186" spans="2:11" x14ac:dyDescent="0.3">
      <c r="B186" s="67">
        <v>44401</v>
      </c>
      <c r="C186" t="s">
        <v>190</v>
      </c>
      <c r="D186" t="s">
        <v>168</v>
      </c>
      <c r="E186" t="s">
        <v>162</v>
      </c>
      <c r="F186" t="s">
        <v>169</v>
      </c>
      <c r="G186" s="82">
        <v>7478</v>
      </c>
      <c r="H186" s="82">
        <v>1196.48</v>
      </c>
      <c r="I186">
        <f>YEAR(tbl_dashboard_ejm[[#This Row],[Fecha]])</f>
        <v>2021</v>
      </c>
      <c r="J186" t="str">
        <f>TEXT(tbl_dashboard_ejm[[#This Row],[Fecha]],"MMMM")</f>
        <v>julio</v>
      </c>
      <c r="K186">
        <f>WEEKNUM(tbl_dashboard_ejm[[#This Row],[Fecha]],2)</f>
        <v>30</v>
      </c>
    </row>
    <row r="187" spans="2:11" x14ac:dyDescent="0.3">
      <c r="B187" s="67">
        <v>44401</v>
      </c>
      <c r="C187" t="s">
        <v>191</v>
      </c>
      <c r="D187" t="s">
        <v>161</v>
      </c>
      <c r="E187" t="s">
        <v>166</v>
      </c>
      <c r="F187" t="s">
        <v>163</v>
      </c>
      <c r="G187" s="82">
        <v>5954</v>
      </c>
      <c r="H187" s="82">
        <v>2083.9</v>
      </c>
      <c r="I187">
        <f>YEAR(tbl_dashboard_ejm[[#This Row],[Fecha]])</f>
        <v>2021</v>
      </c>
      <c r="J187" t="str">
        <f>TEXT(tbl_dashboard_ejm[[#This Row],[Fecha]],"MMMM")</f>
        <v>julio</v>
      </c>
      <c r="K187">
        <f>WEEKNUM(tbl_dashboard_ejm[[#This Row],[Fecha]],2)</f>
        <v>30</v>
      </c>
    </row>
    <row r="188" spans="2:11" x14ac:dyDescent="0.3">
      <c r="B188" s="67">
        <v>44401</v>
      </c>
      <c r="C188" t="s">
        <v>192</v>
      </c>
      <c r="D188" t="s">
        <v>165</v>
      </c>
      <c r="E188" t="s">
        <v>166</v>
      </c>
      <c r="F188" t="s">
        <v>163</v>
      </c>
      <c r="G188" s="82">
        <v>2689</v>
      </c>
      <c r="H188" s="82">
        <v>537.79999999999995</v>
      </c>
      <c r="I188">
        <f>YEAR(tbl_dashboard_ejm[[#This Row],[Fecha]])</f>
        <v>2021</v>
      </c>
      <c r="J188" t="str">
        <f>TEXT(tbl_dashboard_ejm[[#This Row],[Fecha]],"MMMM")</f>
        <v>julio</v>
      </c>
      <c r="K188">
        <f>WEEKNUM(tbl_dashboard_ejm[[#This Row],[Fecha]],2)</f>
        <v>30</v>
      </c>
    </row>
    <row r="189" spans="2:11" x14ac:dyDescent="0.3">
      <c r="B189" s="67">
        <v>44439</v>
      </c>
      <c r="C189" t="s">
        <v>160</v>
      </c>
      <c r="D189" t="s">
        <v>165</v>
      </c>
      <c r="E189" t="s">
        <v>166</v>
      </c>
      <c r="F189" t="s">
        <v>169</v>
      </c>
      <c r="G189" s="82">
        <v>8196</v>
      </c>
      <c r="H189" s="82">
        <v>1475.28</v>
      </c>
      <c r="I189">
        <f>YEAR(tbl_dashboard_ejm[[#This Row],[Fecha]])</f>
        <v>2021</v>
      </c>
      <c r="J189" t="str">
        <f>TEXT(tbl_dashboard_ejm[[#This Row],[Fecha]],"MMMM")</f>
        <v>agosto</v>
      </c>
      <c r="K189">
        <f>WEEKNUM(tbl_dashboard_ejm[[#This Row],[Fecha]],2)</f>
        <v>36</v>
      </c>
    </row>
    <row r="190" spans="2:11" x14ac:dyDescent="0.3">
      <c r="B190" s="67">
        <v>44439</v>
      </c>
      <c r="C190" t="s">
        <v>164</v>
      </c>
      <c r="D190" t="s">
        <v>161</v>
      </c>
      <c r="E190" t="s">
        <v>162</v>
      </c>
      <c r="F190" t="s">
        <v>169</v>
      </c>
      <c r="G190" s="82">
        <v>1703</v>
      </c>
      <c r="H190" s="82">
        <v>476.84</v>
      </c>
      <c r="I190">
        <f>YEAR(tbl_dashboard_ejm[[#This Row],[Fecha]])</f>
        <v>2021</v>
      </c>
      <c r="J190" t="str">
        <f>TEXT(tbl_dashboard_ejm[[#This Row],[Fecha]],"MMMM")</f>
        <v>agosto</v>
      </c>
      <c r="K190">
        <f>WEEKNUM(tbl_dashboard_ejm[[#This Row],[Fecha]],2)</f>
        <v>36</v>
      </c>
    </row>
    <row r="191" spans="2:11" x14ac:dyDescent="0.3">
      <c r="B191" s="67">
        <v>44439</v>
      </c>
      <c r="C191" t="s">
        <v>167</v>
      </c>
      <c r="D191" t="s">
        <v>165</v>
      </c>
      <c r="E191" t="s">
        <v>162</v>
      </c>
      <c r="F191" t="s">
        <v>163</v>
      </c>
      <c r="G191" s="82">
        <v>9447</v>
      </c>
      <c r="H191" s="82">
        <v>3306.45</v>
      </c>
      <c r="I191">
        <f>YEAR(tbl_dashboard_ejm[[#This Row],[Fecha]])</f>
        <v>2021</v>
      </c>
      <c r="J191" t="str">
        <f>TEXT(tbl_dashboard_ejm[[#This Row],[Fecha]],"MMMM")</f>
        <v>agosto</v>
      </c>
      <c r="K191">
        <f>WEEKNUM(tbl_dashboard_ejm[[#This Row],[Fecha]],2)</f>
        <v>36</v>
      </c>
    </row>
    <row r="192" spans="2:11" x14ac:dyDescent="0.3">
      <c r="B192" s="67">
        <v>44439</v>
      </c>
      <c r="C192" t="s">
        <v>170</v>
      </c>
      <c r="D192" t="s">
        <v>168</v>
      </c>
      <c r="E192" t="s">
        <v>162</v>
      </c>
      <c r="F192" t="s">
        <v>163</v>
      </c>
      <c r="G192" s="82">
        <v>4276</v>
      </c>
      <c r="H192" s="82">
        <v>684.16</v>
      </c>
      <c r="I192">
        <f>YEAR(tbl_dashboard_ejm[[#This Row],[Fecha]])</f>
        <v>2021</v>
      </c>
      <c r="J192" t="str">
        <f>TEXT(tbl_dashboard_ejm[[#This Row],[Fecha]],"MMMM")</f>
        <v>agosto</v>
      </c>
      <c r="K192">
        <f>WEEKNUM(tbl_dashboard_ejm[[#This Row],[Fecha]],2)</f>
        <v>36</v>
      </c>
    </row>
    <row r="193" spans="2:11" x14ac:dyDescent="0.3">
      <c r="B193" s="67">
        <v>44438</v>
      </c>
      <c r="C193" t="s">
        <v>171</v>
      </c>
      <c r="D193" t="s">
        <v>161</v>
      </c>
      <c r="E193" t="s">
        <v>162</v>
      </c>
      <c r="F193" t="s">
        <v>169</v>
      </c>
      <c r="G193" s="82">
        <v>7855</v>
      </c>
      <c r="H193" s="82">
        <v>1178.25</v>
      </c>
      <c r="I193">
        <f>YEAR(tbl_dashboard_ejm[[#This Row],[Fecha]])</f>
        <v>2021</v>
      </c>
      <c r="J193" t="str">
        <f>TEXT(tbl_dashboard_ejm[[#This Row],[Fecha]],"MMMM")</f>
        <v>agosto</v>
      </c>
      <c r="K193">
        <f>WEEKNUM(tbl_dashboard_ejm[[#This Row],[Fecha]],2)</f>
        <v>36</v>
      </c>
    </row>
    <row r="194" spans="2:11" x14ac:dyDescent="0.3">
      <c r="B194" s="67">
        <v>44434</v>
      </c>
      <c r="C194" t="s">
        <v>172</v>
      </c>
      <c r="D194" t="s">
        <v>165</v>
      </c>
      <c r="E194" t="s">
        <v>162</v>
      </c>
      <c r="F194" t="s">
        <v>163</v>
      </c>
      <c r="G194" s="82">
        <v>7401</v>
      </c>
      <c r="H194" s="82">
        <v>1184.1600000000001</v>
      </c>
      <c r="I194">
        <f>YEAR(tbl_dashboard_ejm[[#This Row],[Fecha]])</f>
        <v>2021</v>
      </c>
      <c r="J194" t="str">
        <f>TEXT(tbl_dashboard_ejm[[#This Row],[Fecha]],"MMMM")</f>
        <v>agosto</v>
      </c>
      <c r="K194">
        <f>WEEKNUM(tbl_dashboard_ejm[[#This Row],[Fecha]],2)</f>
        <v>35</v>
      </c>
    </row>
    <row r="195" spans="2:11" x14ac:dyDescent="0.3">
      <c r="B195" s="67">
        <v>44433</v>
      </c>
      <c r="C195" t="s">
        <v>173</v>
      </c>
      <c r="D195" t="s">
        <v>168</v>
      </c>
      <c r="E195" t="s">
        <v>166</v>
      </c>
      <c r="F195" t="s">
        <v>169</v>
      </c>
      <c r="G195" s="82">
        <v>8563</v>
      </c>
      <c r="H195" s="82">
        <v>1455.71</v>
      </c>
      <c r="I195">
        <f>YEAR(tbl_dashboard_ejm[[#This Row],[Fecha]])</f>
        <v>2021</v>
      </c>
      <c r="J195" t="str">
        <f>TEXT(tbl_dashboard_ejm[[#This Row],[Fecha]],"MMMM")</f>
        <v>agosto</v>
      </c>
      <c r="K195">
        <f>WEEKNUM(tbl_dashboard_ejm[[#This Row],[Fecha]],2)</f>
        <v>35</v>
      </c>
    </row>
    <row r="196" spans="2:11" x14ac:dyDescent="0.3">
      <c r="B196" s="67">
        <v>44433</v>
      </c>
      <c r="C196" t="s">
        <v>174</v>
      </c>
      <c r="D196" t="s">
        <v>168</v>
      </c>
      <c r="E196" t="s">
        <v>166</v>
      </c>
      <c r="F196" t="s">
        <v>169</v>
      </c>
      <c r="G196" s="82">
        <v>9559</v>
      </c>
      <c r="H196" s="82">
        <v>3058.88</v>
      </c>
      <c r="I196">
        <f>YEAR(tbl_dashboard_ejm[[#This Row],[Fecha]])</f>
        <v>2021</v>
      </c>
      <c r="J196" t="str">
        <f>TEXT(tbl_dashboard_ejm[[#This Row],[Fecha]],"MMMM")</f>
        <v>agosto</v>
      </c>
      <c r="K196">
        <f>WEEKNUM(tbl_dashboard_ejm[[#This Row],[Fecha]],2)</f>
        <v>35</v>
      </c>
    </row>
    <row r="197" spans="2:11" x14ac:dyDescent="0.3">
      <c r="B197" s="67">
        <v>44433</v>
      </c>
      <c r="C197" t="s">
        <v>175</v>
      </c>
      <c r="D197" t="s">
        <v>165</v>
      </c>
      <c r="E197" t="s">
        <v>162</v>
      </c>
      <c r="F197" t="s">
        <v>169</v>
      </c>
      <c r="G197" s="82">
        <v>2378</v>
      </c>
      <c r="H197" s="82">
        <v>951.2</v>
      </c>
      <c r="I197">
        <f>YEAR(tbl_dashboard_ejm[[#This Row],[Fecha]])</f>
        <v>2021</v>
      </c>
      <c r="J197" t="str">
        <f>TEXT(tbl_dashboard_ejm[[#This Row],[Fecha]],"MMMM")</f>
        <v>agosto</v>
      </c>
      <c r="K197">
        <f>WEEKNUM(tbl_dashboard_ejm[[#This Row],[Fecha]],2)</f>
        <v>35</v>
      </c>
    </row>
    <row r="198" spans="2:11" x14ac:dyDescent="0.3">
      <c r="B198" s="67">
        <v>44433</v>
      </c>
      <c r="C198" t="s">
        <v>176</v>
      </c>
      <c r="D198" t="s">
        <v>165</v>
      </c>
      <c r="E198" t="s">
        <v>162</v>
      </c>
      <c r="F198" t="s">
        <v>169</v>
      </c>
      <c r="G198" s="82">
        <v>6719</v>
      </c>
      <c r="H198" s="82">
        <v>1142.23</v>
      </c>
      <c r="I198">
        <f>YEAR(tbl_dashboard_ejm[[#This Row],[Fecha]])</f>
        <v>2021</v>
      </c>
      <c r="J198" t="str">
        <f>TEXT(tbl_dashboard_ejm[[#This Row],[Fecha]],"MMMM")</f>
        <v>agosto</v>
      </c>
      <c r="K198">
        <f>WEEKNUM(tbl_dashboard_ejm[[#This Row],[Fecha]],2)</f>
        <v>35</v>
      </c>
    </row>
    <row r="199" spans="2:11" x14ac:dyDescent="0.3">
      <c r="B199" s="67">
        <v>44432</v>
      </c>
      <c r="C199" t="s">
        <v>177</v>
      </c>
      <c r="D199" t="s">
        <v>165</v>
      </c>
      <c r="E199" t="s">
        <v>166</v>
      </c>
      <c r="F199" t="s">
        <v>169</v>
      </c>
      <c r="G199" s="82">
        <v>3667</v>
      </c>
      <c r="H199" s="82">
        <v>843.41</v>
      </c>
      <c r="I199">
        <f>YEAR(tbl_dashboard_ejm[[#This Row],[Fecha]])</f>
        <v>2021</v>
      </c>
      <c r="J199" t="str">
        <f>TEXT(tbl_dashboard_ejm[[#This Row],[Fecha]],"MMMM")</f>
        <v>agosto</v>
      </c>
      <c r="K199">
        <f>WEEKNUM(tbl_dashboard_ejm[[#This Row],[Fecha]],2)</f>
        <v>35</v>
      </c>
    </row>
    <row r="200" spans="2:11" x14ac:dyDescent="0.3">
      <c r="B200" s="67">
        <v>44438</v>
      </c>
      <c r="C200" t="s">
        <v>178</v>
      </c>
      <c r="D200" t="s">
        <v>161</v>
      </c>
      <c r="E200" t="s">
        <v>166</v>
      </c>
      <c r="F200" t="s">
        <v>163</v>
      </c>
      <c r="G200" s="82">
        <v>10977</v>
      </c>
      <c r="H200" s="82">
        <v>3073.56</v>
      </c>
      <c r="I200">
        <f>YEAR(tbl_dashboard_ejm[[#This Row],[Fecha]])</f>
        <v>2021</v>
      </c>
      <c r="J200" t="str">
        <f>TEXT(tbl_dashboard_ejm[[#This Row],[Fecha]],"MMMM")</f>
        <v>agosto</v>
      </c>
      <c r="K200">
        <f>WEEKNUM(tbl_dashboard_ejm[[#This Row],[Fecha]],2)</f>
        <v>36</v>
      </c>
    </row>
    <row r="201" spans="2:11" x14ac:dyDescent="0.3">
      <c r="B201" s="67">
        <v>44438</v>
      </c>
      <c r="C201" t="s">
        <v>179</v>
      </c>
      <c r="D201" t="s">
        <v>161</v>
      </c>
      <c r="E201" t="s">
        <v>162</v>
      </c>
      <c r="F201" t="s">
        <v>163</v>
      </c>
      <c r="G201" s="82">
        <v>8714</v>
      </c>
      <c r="H201" s="82">
        <v>3659.88</v>
      </c>
      <c r="I201">
        <f>YEAR(tbl_dashboard_ejm[[#This Row],[Fecha]])</f>
        <v>2021</v>
      </c>
      <c r="J201" t="str">
        <f>TEXT(tbl_dashboard_ejm[[#This Row],[Fecha]],"MMMM")</f>
        <v>agosto</v>
      </c>
      <c r="K201">
        <f>WEEKNUM(tbl_dashboard_ejm[[#This Row],[Fecha]],2)</f>
        <v>36</v>
      </c>
    </row>
    <row r="202" spans="2:11" x14ac:dyDescent="0.3">
      <c r="B202" s="67">
        <v>44438</v>
      </c>
      <c r="C202" t="s">
        <v>180</v>
      </c>
      <c r="D202" t="s">
        <v>165</v>
      </c>
      <c r="E202" t="s">
        <v>162</v>
      </c>
      <c r="F202" t="s">
        <v>169</v>
      </c>
      <c r="G202" s="82">
        <v>9359</v>
      </c>
      <c r="H202" s="82">
        <v>2901.29</v>
      </c>
      <c r="I202">
        <f>YEAR(tbl_dashboard_ejm[[#This Row],[Fecha]])</f>
        <v>2021</v>
      </c>
      <c r="J202" t="str">
        <f>TEXT(tbl_dashboard_ejm[[#This Row],[Fecha]],"MMMM")</f>
        <v>agosto</v>
      </c>
      <c r="K202">
        <f>WEEKNUM(tbl_dashboard_ejm[[#This Row],[Fecha]],2)</f>
        <v>36</v>
      </c>
    </row>
    <row r="203" spans="2:11" x14ac:dyDescent="0.3">
      <c r="B203" s="67">
        <v>44469</v>
      </c>
      <c r="C203" t="s">
        <v>160</v>
      </c>
      <c r="D203" t="s">
        <v>168</v>
      </c>
      <c r="E203" t="s">
        <v>166</v>
      </c>
      <c r="F203" t="s">
        <v>169</v>
      </c>
      <c r="G203" s="82">
        <v>2665</v>
      </c>
      <c r="H203" s="82">
        <v>852.8</v>
      </c>
      <c r="I203">
        <f>YEAR(tbl_dashboard_ejm[[#This Row],[Fecha]])</f>
        <v>2021</v>
      </c>
      <c r="J203" t="str">
        <f>TEXT(tbl_dashboard_ejm[[#This Row],[Fecha]],"MMMM")</f>
        <v>septiembre</v>
      </c>
      <c r="K203">
        <f>WEEKNUM(tbl_dashboard_ejm[[#This Row],[Fecha]],2)</f>
        <v>40</v>
      </c>
    </row>
    <row r="204" spans="2:11" x14ac:dyDescent="0.3">
      <c r="B204" s="67">
        <v>44469</v>
      </c>
      <c r="C204" t="s">
        <v>164</v>
      </c>
      <c r="D204" t="s">
        <v>168</v>
      </c>
      <c r="E204" t="s">
        <v>162</v>
      </c>
      <c r="F204" t="s">
        <v>163</v>
      </c>
      <c r="G204" s="82">
        <v>10350</v>
      </c>
      <c r="H204" s="82">
        <v>3933</v>
      </c>
      <c r="I204">
        <f>YEAR(tbl_dashboard_ejm[[#This Row],[Fecha]])</f>
        <v>2021</v>
      </c>
      <c r="J204" t="str">
        <f>TEXT(tbl_dashboard_ejm[[#This Row],[Fecha]],"MMMM")</f>
        <v>septiembre</v>
      </c>
      <c r="K204">
        <f>WEEKNUM(tbl_dashboard_ejm[[#This Row],[Fecha]],2)</f>
        <v>40</v>
      </c>
    </row>
    <row r="205" spans="2:11" x14ac:dyDescent="0.3">
      <c r="B205" s="67">
        <v>44469</v>
      </c>
      <c r="C205" t="s">
        <v>167</v>
      </c>
      <c r="D205" t="s">
        <v>165</v>
      </c>
      <c r="E205" t="s">
        <v>162</v>
      </c>
      <c r="F205" t="s">
        <v>163</v>
      </c>
      <c r="G205" s="82">
        <v>7586</v>
      </c>
      <c r="H205" s="82">
        <v>1213.76</v>
      </c>
      <c r="I205">
        <f>YEAR(tbl_dashboard_ejm[[#This Row],[Fecha]])</f>
        <v>2021</v>
      </c>
      <c r="J205" t="str">
        <f>TEXT(tbl_dashboard_ejm[[#This Row],[Fecha]],"MMMM")</f>
        <v>septiembre</v>
      </c>
      <c r="K205">
        <f>WEEKNUM(tbl_dashboard_ejm[[#This Row],[Fecha]],2)</f>
        <v>40</v>
      </c>
    </row>
    <row r="206" spans="2:11" x14ac:dyDescent="0.3">
      <c r="B206" s="67">
        <v>44469</v>
      </c>
      <c r="C206" t="s">
        <v>170</v>
      </c>
      <c r="D206" t="s">
        <v>165</v>
      </c>
      <c r="E206" t="s">
        <v>162</v>
      </c>
      <c r="F206" t="s">
        <v>169</v>
      </c>
      <c r="G206" s="82">
        <v>10015</v>
      </c>
      <c r="H206" s="82">
        <v>2603.9</v>
      </c>
      <c r="I206">
        <f>YEAR(tbl_dashboard_ejm[[#This Row],[Fecha]])</f>
        <v>2021</v>
      </c>
      <c r="J206" t="str">
        <f>TEXT(tbl_dashboard_ejm[[#This Row],[Fecha]],"MMMM")</f>
        <v>septiembre</v>
      </c>
      <c r="K206">
        <f>WEEKNUM(tbl_dashboard_ejm[[#This Row],[Fecha]],2)</f>
        <v>40</v>
      </c>
    </row>
    <row r="207" spans="2:11" x14ac:dyDescent="0.3">
      <c r="B207" s="67">
        <v>44465</v>
      </c>
      <c r="C207" t="s">
        <v>171</v>
      </c>
      <c r="D207" t="s">
        <v>165</v>
      </c>
      <c r="E207" t="s">
        <v>166</v>
      </c>
      <c r="F207" t="s">
        <v>163</v>
      </c>
      <c r="G207" s="82">
        <v>10572</v>
      </c>
      <c r="H207" s="82">
        <v>4123.08</v>
      </c>
      <c r="I207">
        <f>YEAR(tbl_dashboard_ejm[[#This Row],[Fecha]])</f>
        <v>2021</v>
      </c>
      <c r="J207" t="str">
        <f>TEXT(tbl_dashboard_ejm[[#This Row],[Fecha]],"MMMM")</f>
        <v>septiembre</v>
      </c>
      <c r="K207">
        <f>WEEKNUM(tbl_dashboard_ejm[[#This Row],[Fecha]],2)</f>
        <v>39</v>
      </c>
    </row>
    <row r="208" spans="2:11" x14ac:dyDescent="0.3">
      <c r="B208" s="67">
        <v>44464</v>
      </c>
      <c r="C208" t="s">
        <v>172</v>
      </c>
      <c r="D208" t="s">
        <v>161</v>
      </c>
      <c r="E208" t="s">
        <v>166</v>
      </c>
      <c r="F208" t="s">
        <v>169</v>
      </c>
      <c r="G208" s="82">
        <v>7895</v>
      </c>
      <c r="H208" s="82">
        <v>1894.8</v>
      </c>
      <c r="I208">
        <f>YEAR(tbl_dashboard_ejm[[#This Row],[Fecha]])</f>
        <v>2021</v>
      </c>
      <c r="J208" t="str">
        <f>TEXT(tbl_dashboard_ejm[[#This Row],[Fecha]],"MMMM")</f>
        <v>septiembre</v>
      </c>
      <c r="K208">
        <f>WEEKNUM(tbl_dashboard_ejm[[#This Row],[Fecha]],2)</f>
        <v>39</v>
      </c>
    </row>
    <row r="209" spans="2:11" x14ac:dyDescent="0.3">
      <c r="B209" s="67">
        <v>44464</v>
      </c>
      <c r="C209" t="s">
        <v>173</v>
      </c>
      <c r="D209" t="s">
        <v>165</v>
      </c>
      <c r="E209" t="s">
        <v>162</v>
      </c>
      <c r="F209" t="s">
        <v>169</v>
      </c>
      <c r="G209" s="82">
        <v>3811</v>
      </c>
      <c r="H209" s="82">
        <v>1181.4100000000001</v>
      </c>
      <c r="I209">
        <f>YEAR(tbl_dashboard_ejm[[#This Row],[Fecha]])</f>
        <v>2021</v>
      </c>
      <c r="J209" t="str">
        <f>TEXT(tbl_dashboard_ejm[[#This Row],[Fecha]],"MMMM")</f>
        <v>septiembre</v>
      </c>
      <c r="K209">
        <f>WEEKNUM(tbl_dashboard_ejm[[#This Row],[Fecha]],2)</f>
        <v>39</v>
      </c>
    </row>
    <row r="210" spans="2:11" x14ac:dyDescent="0.3">
      <c r="B210" s="67">
        <v>44464</v>
      </c>
      <c r="C210" t="s">
        <v>174</v>
      </c>
      <c r="D210" t="s">
        <v>165</v>
      </c>
      <c r="E210" t="s">
        <v>166</v>
      </c>
      <c r="F210" t="s">
        <v>169</v>
      </c>
      <c r="G210" s="82">
        <v>7170</v>
      </c>
      <c r="H210" s="82">
        <v>1649.1</v>
      </c>
      <c r="I210">
        <f>YEAR(tbl_dashboard_ejm[[#This Row],[Fecha]])</f>
        <v>2021</v>
      </c>
      <c r="J210" t="str">
        <f>TEXT(tbl_dashboard_ejm[[#This Row],[Fecha]],"MMMM")</f>
        <v>septiembre</v>
      </c>
      <c r="K210">
        <f>WEEKNUM(tbl_dashboard_ejm[[#This Row],[Fecha]],2)</f>
        <v>39</v>
      </c>
    </row>
    <row r="211" spans="2:11" x14ac:dyDescent="0.3">
      <c r="B211" s="67">
        <v>44464</v>
      </c>
      <c r="C211" t="s">
        <v>175</v>
      </c>
      <c r="D211" t="s">
        <v>168</v>
      </c>
      <c r="E211" t="s">
        <v>166</v>
      </c>
      <c r="F211" t="s">
        <v>169</v>
      </c>
      <c r="G211" s="82">
        <v>2222</v>
      </c>
      <c r="H211" s="82">
        <v>577.72</v>
      </c>
      <c r="I211">
        <f>YEAR(tbl_dashboard_ejm[[#This Row],[Fecha]])</f>
        <v>2021</v>
      </c>
      <c r="J211" t="str">
        <f>TEXT(tbl_dashboard_ejm[[#This Row],[Fecha]],"MMMM")</f>
        <v>septiembre</v>
      </c>
      <c r="K211">
        <f>WEEKNUM(tbl_dashboard_ejm[[#This Row],[Fecha]],2)</f>
        <v>39</v>
      </c>
    </row>
    <row r="212" spans="2:11" x14ac:dyDescent="0.3">
      <c r="B212" s="67">
        <v>44463</v>
      </c>
      <c r="C212" t="s">
        <v>176</v>
      </c>
      <c r="D212" t="s">
        <v>165</v>
      </c>
      <c r="E212" t="s">
        <v>162</v>
      </c>
      <c r="F212" t="s">
        <v>169</v>
      </c>
      <c r="G212" s="82">
        <v>2244</v>
      </c>
      <c r="H212" s="82">
        <v>538.55999999999995</v>
      </c>
      <c r="I212">
        <f>YEAR(tbl_dashboard_ejm[[#This Row],[Fecha]])</f>
        <v>2021</v>
      </c>
      <c r="J212" t="str">
        <f>TEXT(tbl_dashboard_ejm[[#This Row],[Fecha]],"MMMM")</f>
        <v>septiembre</v>
      </c>
      <c r="K212">
        <f>WEEKNUM(tbl_dashboard_ejm[[#This Row],[Fecha]],2)</f>
        <v>39</v>
      </c>
    </row>
    <row r="213" spans="2:11" x14ac:dyDescent="0.3">
      <c r="B213" s="67">
        <v>44463</v>
      </c>
      <c r="C213" t="s">
        <v>177</v>
      </c>
      <c r="D213" t="s">
        <v>161</v>
      </c>
      <c r="E213" t="s">
        <v>162</v>
      </c>
      <c r="F213" t="s">
        <v>163</v>
      </c>
      <c r="G213" s="82">
        <v>11396</v>
      </c>
      <c r="H213" s="82">
        <v>1709.4</v>
      </c>
      <c r="I213">
        <f>YEAR(tbl_dashboard_ejm[[#This Row],[Fecha]])</f>
        <v>2021</v>
      </c>
      <c r="J213" t="str">
        <f>TEXT(tbl_dashboard_ejm[[#This Row],[Fecha]],"MMMM")</f>
        <v>septiembre</v>
      </c>
      <c r="K213">
        <f>WEEKNUM(tbl_dashboard_ejm[[#This Row],[Fecha]],2)</f>
        <v>39</v>
      </c>
    </row>
    <row r="214" spans="2:11" x14ac:dyDescent="0.3">
      <c r="B214" s="67">
        <v>44463</v>
      </c>
      <c r="C214" t="s">
        <v>178</v>
      </c>
      <c r="D214" t="s">
        <v>161</v>
      </c>
      <c r="E214" t="s">
        <v>162</v>
      </c>
      <c r="F214" t="s">
        <v>163</v>
      </c>
      <c r="G214" s="82">
        <v>11979</v>
      </c>
      <c r="H214" s="82">
        <v>3234.33</v>
      </c>
      <c r="I214">
        <f>YEAR(tbl_dashboard_ejm[[#This Row],[Fecha]])</f>
        <v>2021</v>
      </c>
      <c r="J214" t="str">
        <f>TEXT(tbl_dashboard_ejm[[#This Row],[Fecha]],"MMMM")</f>
        <v>septiembre</v>
      </c>
      <c r="K214">
        <f>WEEKNUM(tbl_dashboard_ejm[[#This Row],[Fecha]],2)</f>
        <v>39</v>
      </c>
    </row>
    <row r="215" spans="2:11" x14ac:dyDescent="0.3">
      <c r="B215" s="67">
        <v>44463</v>
      </c>
      <c r="C215" t="s">
        <v>179</v>
      </c>
      <c r="D215" t="s">
        <v>161</v>
      </c>
      <c r="E215" t="s">
        <v>162</v>
      </c>
      <c r="F215" t="s">
        <v>169</v>
      </c>
      <c r="G215" s="82">
        <v>11187</v>
      </c>
      <c r="H215" s="82">
        <v>2573.0100000000002</v>
      </c>
      <c r="I215">
        <f>YEAR(tbl_dashboard_ejm[[#This Row],[Fecha]])</f>
        <v>2021</v>
      </c>
      <c r="J215" t="str">
        <f>TEXT(tbl_dashboard_ejm[[#This Row],[Fecha]],"MMMM")</f>
        <v>septiembre</v>
      </c>
      <c r="K215">
        <f>WEEKNUM(tbl_dashboard_ejm[[#This Row],[Fecha]],2)</f>
        <v>39</v>
      </c>
    </row>
    <row r="216" spans="2:11" x14ac:dyDescent="0.3">
      <c r="B216" s="67">
        <v>44463</v>
      </c>
      <c r="C216" t="s">
        <v>180</v>
      </c>
      <c r="D216" t="s">
        <v>168</v>
      </c>
      <c r="E216" t="s">
        <v>162</v>
      </c>
      <c r="F216" t="s">
        <v>169</v>
      </c>
      <c r="G216" s="82">
        <v>6047</v>
      </c>
      <c r="H216" s="82">
        <v>1088.46</v>
      </c>
      <c r="I216">
        <f>YEAR(tbl_dashboard_ejm[[#This Row],[Fecha]])</f>
        <v>2021</v>
      </c>
      <c r="J216" t="str">
        <f>TEXT(tbl_dashboard_ejm[[#This Row],[Fecha]],"MMMM")</f>
        <v>septiembre</v>
      </c>
      <c r="K216">
        <f>WEEKNUM(tbl_dashboard_ejm[[#This Row],[Fecha]],2)</f>
        <v>39</v>
      </c>
    </row>
    <row r="217" spans="2:11" x14ac:dyDescent="0.3">
      <c r="B217" s="67">
        <v>44463</v>
      </c>
      <c r="C217" t="s">
        <v>181</v>
      </c>
      <c r="D217" t="s">
        <v>161</v>
      </c>
      <c r="E217" t="s">
        <v>166</v>
      </c>
      <c r="F217" t="s">
        <v>163</v>
      </c>
      <c r="G217" s="82">
        <v>7204</v>
      </c>
      <c r="H217" s="82">
        <v>2305.2800000000002</v>
      </c>
      <c r="I217">
        <f>YEAR(tbl_dashboard_ejm[[#This Row],[Fecha]])</f>
        <v>2021</v>
      </c>
      <c r="J217" t="str">
        <f>TEXT(tbl_dashboard_ejm[[#This Row],[Fecha]],"MMMM")</f>
        <v>septiembre</v>
      </c>
      <c r="K217">
        <f>WEEKNUM(tbl_dashboard_ejm[[#This Row],[Fecha]],2)</f>
        <v>39</v>
      </c>
    </row>
    <row r="218" spans="2:11" x14ac:dyDescent="0.3">
      <c r="B218" s="67">
        <v>44463</v>
      </c>
      <c r="C218" t="s">
        <v>182</v>
      </c>
      <c r="D218" t="s">
        <v>161</v>
      </c>
      <c r="E218" t="s">
        <v>162</v>
      </c>
      <c r="F218" t="s">
        <v>163</v>
      </c>
      <c r="G218" s="82">
        <v>7091</v>
      </c>
      <c r="H218" s="82">
        <v>2765.49</v>
      </c>
      <c r="I218">
        <f>YEAR(tbl_dashboard_ejm[[#This Row],[Fecha]])</f>
        <v>2021</v>
      </c>
      <c r="J218" t="str">
        <f>TEXT(tbl_dashboard_ejm[[#This Row],[Fecha]],"MMMM")</f>
        <v>septiembre</v>
      </c>
      <c r="K218">
        <f>WEEKNUM(tbl_dashboard_ejm[[#This Row],[Fecha]],2)</f>
        <v>39</v>
      </c>
    </row>
    <row r="219" spans="2:11" x14ac:dyDescent="0.3">
      <c r="B219" s="67">
        <v>44469</v>
      </c>
      <c r="C219" t="s">
        <v>183</v>
      </c>
      <c r="D219" t="s">
        <v>168</v>
      </c>
      <c r="E219" t="s">
        <v>166</v>
      </c>
      <c r="F219" t="s">
        <v>169</v>
      </c>
      <c r="G219" s="82">
        <v>5323</v>
      </c>
      <c r="H219" s="82">
        <v>2182.4299999999998</v>
      </c>
      <c r="I219">
        <f>YEAR(tbl_dashboard_ejm[[#This Row],[Fecha]])</f>
        <v>2021</v>
      </c>
      <c r="J219" t="str">
        <f>TEXT(tbl_dashboard_ejm[[#This Row],[Fecha]],"MMMM")</f>
        <v>septiembre</v>
      </c>
      <c r="K219">
        <f>WEEKNUM(tbl_dashboard_ejm[[#This Row],[Fecha]],2)</f>
        <v>40</v>
      </c>
    </row>
    <row r="220" spans="2:11" x14ac:dyDescent="0.3">
      <c r="B220" s="67">
        <v>44465</v>
      </c>
      <c r="C220" t="s">
        <v>184</v>
      </c>
      <c r="D220" t="s">
        <v>161</v>
      </c>
      <c r="E220" t="s">
        <v>162</v>
      </c>
      <c r="F220" t="s">
        <v>163</v>
      </c>
      <c r="G220" s="82">
        <v>9003</v>
      </c>
      <c r="H220" s="82">
        <v>3961.32</v>
      </c>
      <c r="I220">
        <f>YEAR(tbl_dashboard_ejm[[#This Row],[Fecha]])</f>
        <v>2021</v>
      </c>
      <c r="J220" t="str">
        <f>TEXT(tbl_dashboard_ejm[[#This Row],[Fecha]],"MMMM")</f>
        <v>septiembre</v>
      </c>
      <c r="K220">
        <f>WEEKNUM(tbl_dashboard_ejm[[#This Row],[Fecha]],2)</f>
        <v>39</v>
      </c>
    </row>
    <row r="221" spans="2:11" x14ac:dyDescent="0.3">
      <c r="B221" s="67">
        <v>44464</v>
      </c>
      <c r="C221" t="s">
        <v>185</v>
      </c>
      <c r="D221" t="s">
        <v>168</v>
      </c>
      <c r="E221" t="s">
        <v>166</v>
      </c>
      <c r="F221" t="s">
        <v>169</v>
      </c>
      <c r="G221" s="82">
        <v>4174</v>
      </c>
      <c r="H221" s="82">
        <v>1043.5</v>
      </c>
      <c r="I221">
        <f>YEAR(tbl_dashboard_ejm[[#This Row],[Fecha]])</f>
        <v>2021</v>
      </c>
      <c r="J221" t="str">
        <f>TEXT(tbl_dashboard_ejm[[#This Row],[Fecha]],"MMMM")</f>
        <v>septiembre</v>
      </c>
      <c r="K221">
        <f>WEEKNUM(tbl_dashboard_ejm[[#This Row],[Fecha]],2)</f>
        <v>39</v>
      </c>
    </row>
    <row r="222" spans="2:11" x14ac:dyDescent="0.3">
      <c r="B222" s="67">
        <v>44464</v>
      </c>
      <c r="C222" t="s">
        <v>186</v>
      </c>
      <c r="D222" t="s">
        <v>168</v>
      </c>
      <c r="E222" t="s">
        <v>162</v>
      </c>
      <c r="F222" t="s">
        <v>169</v>
      </c>
      <c r="G222" s="82">
        <v>8395</v>
      </c>
      <c r="H222" s="82">
        <v>1259.25</v>
      </c>
      <c r="I222">
        <f>YEAR(tbl_dashboard_ejm[[#This Row],[Fecha]])</f>
        <v>2021</v>
      </c>
      <c r="J222" t="str">
        <f>TEXT(tbl_dashboard_ejm[[#This Row],[Fecha]],"MMMM")</f>
        <v>septiembre</v>
      </c>
      <c r="K222">
        <f>WEEKNUM(tbl_dashboard_ejm[[#This Row],[Fecha]],2)</f>
        <v>39</v>
      </c>
    </row>
    <row r="223" spans="2:11" x14ac:dyDescent="0.3">
      <c r="B223" s="67">
        <v>44464</v>
      </c>
      <c r="C223" t="s">
        <v>187</v>
      </c>
      <c r="D223" t="s">
        <v>168</v>
      </c>
      <c r="E223" t="s">
        <v>166</v>
      </c>
      <c r="F223" t="s">
        <v>169</v>
      </c>
      <c r="G223" s="82">
        <v>7401</v>
      </c>
      <c r="H223" s="82">
        <v>1110.1500000000001</v>
      </c>
      <c r="I223">
        <f>YEAR(tbl_dashboard_ejm[[#This Row],[Fecha]])</f>
        <v>2021</v>
      </c>
      <c r="J223" t="str">
        <f>TEXT(tbl_dashboard_ejm[[#This Row],[Fecha]],"MMMM")</f>
        <v>septiembre</v>
      </c>
      <c r="K223">
        <f>WEEKNUM(tbl_dashboard_ejm[[#This Row],[Fecha]],2)</f>
        <v>39</v>
      </c>
    </row>
    <row r="224" spans="2:11" x14ac:dyDescent="0.3">
      <c r="B224" s="67">
        <v>44464</v>
      </c>
      <c r="C224" t="s">
        <v>188</v>
      </c>
      <c r="D224" t="s">
        <v>168</v>
      </c>
      <c r="E224" t="s">
        <v>166</v>
      </c>
      <c r="F224" t="s">
        <v>169</v>
      </c>
      <c r="G224" s="82">
        <v>5404</v>
      </c>
      <c r="H224" s="82">
        <v>1188.8800000000001</v>
      </c>
      <c r="I224">
        <f>YEAR(tbl_dashboard_ejm[[#This Row],[Fecha]])</f>
        <v>2021</v>
      </c>
      <c r="J224" t="str">
        <f>TEXT(tbl_dashboard_ejm[[#This Row],[Fecha]],"MMMM")</f>
        <v>septiembre</v>
      </c>
      <c r="K224">
        <f>WEEKNUM(tbl_dashboard_ejm[[#This Row],[Fecha]],2)</f>
        <v>39</v>
      </c>
    </row>
    <row r="225" spans="2:11" x14ac:dyDescent="0.3">
      <c r="B225" s="67">
        <v>44463</v>
      </c>
      <c r="C225" t="s">
        <v>189</v>
      </c>
      <c r="D225" t="s">
        <v>165</v>
      </c>
      <c r="E225" t="s">
        <v>162</v>
      </c>
      <c r="F225" t="s">
        <v>169</v>
      </c>
      <c r="G225" s="82">
        <v>7859</v>
      </c>
      <c r="H225" s="82">
        <v>1728.98</v>
      </c>
      <c r="I225">
        <f>YEAR(tbl_dashboard_ejm[[#This Row],[Fecha]])</f>
        <v>2021</v>
      </c>
      <c r="J225" t="str">
        <f>TEXT(tbl_dashboard_ejm[[#This Row],[Fecha]],"MMMM")</f>
        <v>septiembre</v>
      </c>
      <c r="K225">
        <f>WEEKNUM(tbl_dashboard_ejm[[#This Row],[Fecha]],2)</f>
        <v>39</v>
      </c>
    </row>
    <row r="226" spans="2:11" x14ac:dyDescent="0.3">
      <c r="B226" s="67">
        <v>44469</v>
      </c>
      <c r="C226" t="s">
        <v>190</v>
      </c>
      <c r="D226" t="s">
        <v>168</v>
      </c>
      <c r="E226" t="s">
        <v>162</v>
      </c>
      <c r="F226" t="s">
        <v>163</v>
      </c>
      <c r="G226" s="82">
        <v>10338</v>
      </c>
      <c r="H226" s="82">
        <v>1654.08</v>
      </c>
      <c r="I226">
        <f>YEAR(tbl_dashboard_ejm[[#This Row],[Fecha]])</f>
        <v>2021</v>
      </c>
      <c r="J226" t="str">
        <f>TEXT(tbl_dashboard_ejm[[#This Row],[Fecha]],"MMMM")</f>
        <v>septiembre</v>
      </c>
      <c r="K226">
        <f>WEEKNUM(tbl_dashboard_ejm[[#This Row],[Fecha]],2)</f>
        <v>40</v>
      </c>
    </row>
    <row r="227" spans="2:11" x14ac:dyDescent="0.3">
      <c r="B227" s="67">
        <v>44469</v>
      </c>
      <c r="C227" t="s">
        <v>191</v>
      </c>
      <c r="D227" t="s">
        <v>161</v>
      </c>
      <c r="E227" t="s">
        <v>162</v>
      </c>
      <c r="F227" t="s">
        <v>163</v>
      </c>
      <c r="G227" s="82">
        <v>1419</v>
      </c>
      <c r="H227" s="82">
        <v>439.89</v>
      </c>
      <c r="I227">
        <f>YEAR(tbl_dashboard_ejm[[#This Row],[Fecha]])</f>
        <v>2021</v>
      </c>
      <c r="J227" t="str">
        <f>TEXT(tbl_dashboard_ejm[[#This Row],[Fecha]],"MMMM")</f>
        <v>septiembre</v>
      </c>
      <c r="K227">
        <f>WEEKNUM(tbl_dashboard_ejm[[#This Row],[Fecha]],2)</f>
        <v>40</v>
      </c>
    </row>
    <row r="228" spans="2:11" x14ac:dyDescent="0.3">
      <c r="B228" s="67">
        <v>44469</v>
      </c>
      <c r="C228" t="s">
        <v>192</v>
      </c>
      <c r="D228" t="s">
        <v>165</v>
      </c>
      <c r="E228" t="s">
        <v>166</v>
      </c>
      <c r="F228" t="s">
        <v>169</v>
      </c>
      <c r="G228" s="82">
        <v>2546</v>
      </c>
      <c r="H228" s="82">
        <v>763.8</v>
      </c>
      <c r="I228">
        <f>YEAR(tbl_dashboard_ejm[[#This Row],[Fecha]])</f>
        <v>2021</v>
      </c>
      <c r="J228" t="str">
        <f>TEXT(tbl_dashboard_ejm[[#This Row],[Fecha]],"MMMM")</f>
        <v>septiembre</v>
      </c>
      <c r="K228">
        <f>WEEKNUM(tbl_dashboard_ejm[[#This Row],[Fecha]],2)</f>
        <v>40</v>
      </c>
    </row>
    <row r="229" spans="2:11" x14ac:dyDescent="0.3">
      <c r="B229" s="67">
        <v>44469</v>
      </c>
      <c r="C229" t="s">
        <v>193</v>
      </c>
      <c r="D229" t="s">
        <v>168</v>
      </c>
      <c r="E229" t="s">
        <v>166</v>
      </c>
      <c r="F229" t="s">
        <v>169</v>
      </c>
      <c r="G229" s="82">
        <v>7869</v>
      </c>
      <c r="H229" s="82">
        <v>3462.36</v>
      </c>
      <c r="I229">
        <f>YEAR(tbl_dashboard_ejm[[#This Row],[Fecha]])</f>
        <v>2021</v>
      </c>
      <c r="J229" t="str">
        <f>TEXT(tbl_dashboard_ejm[[#This Row],[Fecha]],"MMMM")</f>
        <v>septiembre</v>
      </c>
      <c r="K229">
        <f>WEEKNUM(tbl_dashboard_ejm[[#This Row],[Fecha]],2)</f>
        <v>40</v>
      </c>
    </row>
    <row r="230" spans="2:11" x14ac:dyDescent="0.3">
      <c r="B230" s="67">
        <v>44469</v>
      </c>
      <c r="C230" t="s">
        <v>194</v>
      </c>
      <c r="D230" t="s">
        <v>165</v>
      </c>
      <c r="E230" t="s">
        <v>162</v>
      </c>
      <c r="F230" t="s">
        <v>163</v>
      </c>
      <c r="G230" s="82">
        <v>11191</v>
      </c>
      <c r="H230" s="82">
        <v>4476.3999999999996</v>
      </c>
      <c r="I230">
        <f>YEAR(tbl_dashboard_ejm[[#This Row],[Fecha]])</f>
        <v>2021</v>
      </c>
      <c r="J230" t="str">
        <f>TEXT(tbl_dashboard_ejm[[#This Row],[Fecha]],"MMMM")</f>
        <v>septiembre</v>
      </c>
      <c r="K230">
        <f>WEEKNUM(tbl_dashboard_ejm[[#This Row],[Fecha]],2)</f>
        <v>40</v>
      </c>
    </row>
    <row r="231" spans="2:11" x14ac:dyDescent="0.3">
      <c r="B231" s="67">
        <v>44469</v>
      </c>
      <c r="C231" t="s">
        <v>195</v>
      </c>
      <c r="D231" t="s">
        <v>165</v>
      </c>
      <c r="E231" t="s">
        <v>166</v>
      </c>
      <c r="F231" t="s">
        <v>163</v>
      </c>
      <c r="G231" s="82">
        <v>4265</v>
      </c>
      <c r="H231" s="82">
        <v>682.4</v>
      </c>
      <c r="I231">
        <f>YEAR(tbl_dashboard_ejm[[#This Row],[Fecha]])</f>
        <v>2021</v>
      </c>
      <c r="J231" t="str">
        <f>TEXT(tbl_dashboard_ejm[[#This Row],[Fecha]],"MMMM")</f>
        <v>septiembre</v>
      </c>
      <c r="K231">
        <f>WEEKNUM(tbl_dashboard_ejm[[#This Row],[Fecha]],2)</f>
        <v>40</v>
      </c>
    </row>
    <row r="232" spans="2:11" x14ac:dyDescent="0.3">
      <c r="B232" s="67">
        <v>44469</v>
      </c>
      <c r="C232" t="s">
        <v>196</v>
      </c>
      <c r="D232" t="s">
        <v>165</v>
      </c>
      <c r="E232" t="s">
        <v>162</v>
      </c>
      <c r="F232" t="s">
        <v>169</v>
      </c>
      <c r="G232" s="82">
        <v>6818</v>
      </c>
      <c r="H232" s="82">
        <v>2454.48</v>
      </c>
      <c r="I232">
        <f>YEAR(tbl_dashboard_ejm[[#This Row],[Fecha]])</f>
        <v>2021</v>
      </c>
      <c r="J232" t="str">
        <f>TEXT(tbl_dashboard_ejm[[#This Row],[Fecha]],"MMMM")</f>
        <v>septiembre</v>
      </c>
      <c r="K232">
        <f>WEEKNUM(tbl_dashboard_ejm[[#This Row],[Fecha]],2)</f>
        <v>40</v>
      </c>
    </row>
    <row r="233" spans="2:11" x14ac:dyDescent="0.3">
      <c r="B233" s="67">
        <v>44495</v>
      </c>
      <c r="C233" t="s">
        <v>160</v>
      </c>
      <c r="D233" t="s">
        <v>161</v>
      </c>
      <c r="E233" t="s">
        <v>162</v>
      </c>
      <c r="F233" t="s">
        <v>163</v>
      </c>
      <c r="G233" s="82">
        <v>11217</v>
      </c>
      <c r="H233" s="82">
        <v>2579.91</v>
      </c>
      <c r="I233">
        <f>YEAR(tbl_dashboard_ejm[[#This Row],[Fecha]])</f>
        <v>2021</v>
      </c>
      <c r="J233" t="str">
        <f>TEXT(tbl_dashboard_ejm[[#This Row],[Fecha]],"MMMM")</f>
        <v>octubre</v>
      </c>
      <c r="K233">
        <f>WEEKNUM(tbl_dashboard_ejm[[#This Row],[Fecha]],2)</f>
        <v>44</v>
      </c>
    </row>
    <row r="234" spans="2:11" x14ac:dyDescent="0.3">
      <c r="B234" s="67">
        <v>44494</v>
      </c>
      <c r="C234" t="s">
        <v>164</v>
      </c>
      <c r="D234" t="s">
        <v>165</v>
      </c>
      <c r="E234" t="s">
        <v>166</v>
      </c>
      <c r="F234" t="s">
        <v>169</v>
      </c>
      <c r="G234" s="82">
        <v>10508</v>
      </c>
      <c r="H234" s="82">
        <v>4203.2</v>
      </c>
      <c r="I234">
        <f>YEAR(tbl_dashboard_ejm[[#This Row],[Fecha]])</f>
        <v>2021</v>
      </c>
      <c r="J234" t="str">
        <f>TEXT(tbl_dashboard_ejm[[#This Row],[Fecha]],"MMMM")</f>
        <v>octubre</v>
      </c>
      <c r="K234">
        <f>WEEKNUM(tbl_dashboard_ejm[[#This Row],[Fecha]],2)</f>
        <v>44</v>
      </c>
    </row>
    <row r="235" spans="2:11" x14ac:dyDescent="0.3">
      <c r="B235" s="67">
        <v>44494</v>
      </c>
      <c r="C235" t="s">
        <v>167</v>
      </c>
      <c r="D235" t="s">
        <v>168</v>
      </c>
      <c r="E235" t="s">
        <v>162</v>
      </c>
      <c r="F235" t="s">
        <v>169</v>
      </c>
      <c r="G235" s="82">
        <v>8770</v>
      </c>
      <c r="H235" s="82">
        <v>1666.3</v>
      </c>
      <c r="I235">
        <f>YEAR(tbl_dashboard_ejm[[#This Row],[Fecha]])</f>
        <v>2021</v>
      </c>
      <c r="J235" t="str">
        <f>TEXT(tbl_dashboard_ejm[[#This Row],[Fecha]],"MMMM")</f>
        <v>octubre</v>
      </c>
      <c r="K235">
        <f>WEEKNUM(tbl_dashboard_ejm[[#This Row],[Fecha]],2)</f>
        <v>44</v>
      </c>
    </row>
    <row r="236" spans="2:11" x14ac:dyDescent="0.3">
      <c r="B236" s="67">
        <v>44494</v>
      </c>
      <c r="C236" t="s">
        <v>170</v>
      </c>
      <c r="D236" t="s">
        <v>161</v>
      </c>
      <c r="E236" t="s">
        <v>166</v>
      </c>
      <c r="F236" t="s">
        <v>169</v>
      </c>
      <c r="G236" s="82">
        <v>3032</v>
      </c>
      <c r="H236" s="82">
        <v>576.08000000000004</v>
      </c>
      <c r="I236">
        <f>YEAR(tbl_dashboard_ejm[[#This Row],[Fecha]])</f>
        <v>2021</v>
      </c>
      <c r="J236" t="str">
        <f>TEXT(tbl_dashboard_ejm[[#This Row],[Fecha]],"MMMM")</f>
        <v>octubre</v>
      </c>
      <c r="K236">
        <f>WEEKNUM(tbl_dashboard_ejm[[#This Row],[Fecha]],2)</f>
        <v>44</v>
      </c>
    </row>
    <row r="237" spans="2:11" x14ac:dyDescent="0.3">
      <c r="B237" s="67">
        <v>44494</v>
      </c>
      <c r="C237" t="s">
        <v>171</v>
      </c>
      <c r="D237" t="s">
        <v>165</v>
      </c>
      <c r="E237" t="s">
        <v>166</v>
      </c>
      <c r="F237" t="s">
        <v>169</v>
      </c>
      <c r="G237" s="82">
        <v>1630</v>
      </c>
      <c r="H237" s="82">
        <v>293.39999999999998</v>
      </c>
      <c r="I237">
        <f>YEAR(tbl_dashboard_ejm[[#This Row],[Fecha]])</f>
        <v>2021</v>
      </c>
      <c r="J237" t="str">
        <f>TEXT(tbl_dashboard_ejm[[#This Row],[Fecha]],"MMMM")</f>
        <v>octubre</v>
      </c>
      <c r="K237">
        <f>WEEKNUM(tbl_dashboard_ejm[[#This Row],[Fecha]],2)</f>
        <v>44</v>
      </c>
    </row>
    <row r="238" spans="2:11" x14ac:dyDescent="0.3">
      <c r="B238" s="67">
        <v>44493</v>
      </c>
      <c r="C238" t="s">
        <v>172</v>
      </c>
      <c r="D238" t="s">
        <v>165</v>
      </c>
      <c r="E238" t="s">
        <v>166</v>
      </c>
      <c r="F238" t="s">
        <v>169</v>
      </c>
      <c r="G238" s="82">
        <v>8766</v>
      </c>
      <c r="H238" s="82">
        <v>2629.8</v>
      </c>
      <c r="I238">
        <f>YEAR(tbl_dashboard_ejm[[#This Row],[Fecha]])</f>
        <v>2021</v>
      </c>
      <c r="J238" t="str">
        <f>TEXT(tbl_dashboard_ejm[[#This Row],[Fecha]],"MMMM")</f>
        <v>octubre</v>
      </c>
      <c r="K238">
        <f>WEEKNUM(tbl_dashboard_ejm[[#This Row],[Fecha]],2)</f>
        <v>43</v>
      </c>
    </row>
    <row r="239" spans="2:11" x14ac:dyDescent="0.3">
      <c r="B239" s="67">
        <v>44500</v>
      </c>
      <c r="C239" t="s">
        <v>173</v>
      </c>
      <c r="D239" t="s">
        <v>161</v>
      </c>
      <c r="E239" t="s">
        <v>162</v>
      </c>
      <c r="F239" t="s">
        <v>163</v>
      </c>
      <c r="G239" s="82">
        <v>7183</v>
      </c>
      <c r="H239" s="82">
        <v>2083.0700000000002</v>
      </c>
      <c r="I239">
        <f>YEAR(tbl_dashboard_ejm[[#This Row],[Fecha]])</f>
        <v>2021</v>
      </c>
      <c r="J239" t="str">
        <f>TEXT(tbl_dashboard_ejm[[#This Row],[Fecha]],"MMMM")</f>
        <v>octubre</v>
      </c>
      <c r="K239">
        <f>WEEKNUM(tbl_dashboard_ejm[[#This Row],[Fecha]],2)</f>
        <v>44</v>
      </c>
    </row>
    <row r="240" spans="2:11" x14ac:dyDescent="0.3">
      <c r="B240" s="67">
        <v>44500</v>
      </c>
      <c r="C240" t="s">
        <v>174</v>
      </c>
      <c r="D240" t="s">
        <v>165</v>
      </c>
      <c r="E240" t="s">
        <v>162</v>
      </c>
      <c r="F240" t="s">
        <v>163</v>
      </c>
      <c r="G240" s="82">
        <v>2546</v>
      </c>
      <c r="H240" s="82">
        <v>916.56</v>
      </c>
      <c r="I240">
        <f>YEAR(tbl_dashboard_ejm[[#This Row],[Fecha]])</f>
        <v>2021</v>
      </c>
      <c r="J240" t="str">
        <f>TEXT(tbl_dashboard_ejm[[#This Row],[Fecha]],"MMMM")</f>
        <v>octubre</v>
      </c>
      <c r="K240">
        <f>WEEKNUM(tbl_dashboard_ejm[[#This Row],[Fecha]],2)</f>
        <v>44</v>
      </c>
    </row>
    <row r="241" spans="2:11" x14ac:dyDescent="0.3">
      <c r="B241" s="67">
        <v>44500</v>
      </c>
      <c r="C241" t="s">
        <v>175</v>
      </c>
      <c r="D241" t="s">
        <v>168</v>
      </c>
      <c r="E241" t="s">
        <v>162</v>
      </c>
      <c r="F241" t="s">
        <v>169</v>
      </c>
      <c r="G241" s="82">
        <v>7197</v>
      </c>
      <c r="H241" s="82">
        <v>2518.9499999999998</v>
      </c>
      <c r="I241">
        <f>YEAR(tbl_dashboard_ejm[[#This Row],[Fecha]])</f>
        <v>2021</v>
      </c>
      <c r="J241" t="str">
        <f>TEXT(tbl_dashboard_ejm[[#This Row],[Fecha]],"MMMM")</f>
        <v>octubre</v>
      </c>
      <c r="K241">
        <f>WEEKNUM(tbl_dashboard_ejm[[#This Row],[Fecha]],2)</f>
        <v>44</v>
      </c>
    </row>
    <row r="242" spans="2:11" x14ac:dyDescent="0.3">
      <c r="B242" s="67">
        <v>44500</v>
      </c>
      <c r="C242" t="s">
        <v>176</v>
      </c>
      <c r="D242" t="s">
        <v>161</v>
      </c>
      <c r="E242" t="s">
        <v>166</v>
      </c>
      <c r="F242" t="s">
        <v>169</v>
      </c>
      <c r="G242" s="82">
        <v>7958</v>
      </c>
      <c r="H242" s="82">
        <v>1989.5</v>
      </c>
      <c r="I242">
        <f>YEAR(tbl_dashboard_ejm[[#This Row],[Fecha]])</f>
        <v>2021</v>
      </c>
      <c r="J242" t="str">
        <f>TEXT(tbl_dashboard_ejm[[#This Row],[Fecha]],"MMMM")</f>
        <v>octubre</v>
      </c>
      <c r="K242">
        <f>WEEKNUM(tbl_dashboard_ejm[[#This Row],[Fecha]],2)</f>
        <v>44</v>
      </c>
    </row>
    <row r="243" spans="2:11" x14ac:dyDescent="0.3">
      <c r="B243" s="67">
        <v>44500</v>
      </c>
      <c r="C243" t="s">
        <v>177</v>
      </c>
      <c r="D243" t="s">
        <v>165</v>
      </c>
      <c r="E243" t="s">
        <v>162</v>
      </c>
      <c r="F243" t="s">
        <v>163</v>
      </c>
      <c r="G243" s="82">
        <v>11324</v>
      </c>
      <c r="H243" s="82">
        <v>2151.56</v>
      </c>
      <c r="I243">
        <f>YEAR(tbl_dashboard_ejm[[#This Row],[Fecha]])</f>
        <v>2021</v>
      </c>
      <c r="J243" t="str">
        <f>TEXT(tbl_dashboard_ejm[[#This Row],[Fecha]],"MMMM")</f>
        <v>octubre</v>
      </c>
      <c r="K243">
        <f>WEEKNUM(tbl_dashboard_ejm[[#This Row],[Fecha]],2)</f>
        <v>44</v>
      </c>
    </row>
    <row r="244" spans="2:11" x14ac:dyDescent="0.3">
      <c r="B244" s="67">
        <v>44500</v>
      </c>
      <c r="C244" t="s">
        <v>178</v>
      </c>
      <c r="D244" t="s">
        <v>168</v>
      </c>
      <c r="E244" t="s">
        <v>166</v>
      </c>
      <c r="F244" t="s">
        <v>163</v>
      </c>
      <c r="G244" s="82">
        <v>11310</v>
      </c>
      <c r="H244" s="82">
        <v>3506.1</v>
      </c>
      <c r="I244">
        <f>YEAR(tbl_dashboard_ejm[[#This Row],[Fecha]])</f>
        <v>2021</v>
      </c>
      <c r="J244" t="str">
        <f>TEXT(tbl_dashboard_ejm[[#This Row],[Fecha]],"MMMM")</f>
        <v>octubre</v>
      </c>
      <c r="K244">
        <f>WEEKNUM(tbl_dashboard_ejm[[#This Row],[Fecha]],2)</f>
        <v>44</v>
      </c>
    </row>
    <row r="245" spans="2:11" x14ac:dyDescent="0.3">
      <c r="B245" s="67">
        <v>44499</v>
      </c>
      <c r="C245" t="s">
        <v>179</v>
      </c>
      <c r="D245" t="s">
        <v>168</v>
      </c>
      <c r="E245" t="s">
        <v>166</v>
      </c>
      <c r="F245" t="s">
        <v>169</v>
      </c>
      <c r="G245" s="82">
        <v>9743</v>
      </c>
      <c r="H245" s="82">
        <v>3117.76</v>
      </c>
      <c r="I245">
        <f>YEAR(tbl_dashboard_ejm[[#This Row],[Fecha]])</f>
        <v>2021</v>
      </c>
      <c r="J245" t="str">
        <f>TEXT(tbl_dashboard_ejm[[#This Row],[Fecha]],"MMMM")</f>
        <v>octubre</v>
      </c>
      <c r="K245">
        <f>WEEKNUM(tbl_dashboard_ejm[[#This Row],[Fecha]],2)</f>
        <v>44</v>
      </c>
    </row>
    <row r="246" spans="2:11" x14ac:dyDescent="0.3">
      <c r="B246" s="67">
        <v>44495</v>
      </c>
      <c r="C246" t="s">
        <v>180</v>
      </c>
      <c r="D246" t="s">
        <v>165</v>
      </c>
      <c r="E246" t="s">
        <v>166</v>
      </c>
      <c r="F246" t="s">
        <v>163</v>
      </c>
      <c r="G246" s="82">
        <v>6996</v>
      </c>
      <c r="H246" s="82">
        <v>2728.44</v>
      </c>
      <c r="I246">
        <f>YEAR(tbl_dashboard_ejm[[#This Row],[Fecha]])</f>
        <v>2021</v>
      </c>
      <c r="J246" t="str">
        <f>TEXT(tbl_dashboard_ejm[[#This Row],[Fecha]],"MMMM")</f>
        <v>octubre</v>
      </c>
      <c r="K246">
        <f>WEEKNUM(tbl_dashboard_ejm[[#This Row],[Fecha]],2)</f>
        <v>44</v>
      </c>
    </row>
    <row r="247" spans="2:11" x14ac:dyDescent="0.3">
      <c r="B247" s="67">
        <v>44494</v>
      </c>
      <c r="C247" t="s">
        <v>181</v>
      </c>
      <c r="D247" t="s">
        <v>165</v>
      </c>
      <c r="E247" t="s">
        <v>166</v>
      </c>
      <c r="F247" t="s">
        <v>169</v>
      </c>
      <c r="G247" s="82">
        <v>5131</v>
      </c>
      <c r="H247" s="82">
        <v>1539.3</v>
      </c>
      <c r="I247">
        <f>YEAR(tbl_dashboard_ejm[[#This Row],[Fecha]])</f>
        <v>2021</v>
      </c>
      <c r="J247" t="str">
        <f>TEXT(tbl_dashboard_ejm[[#This Row],[Fecha]],"MMMM")</f>
        <v>octubre</v>
      </c>
      <c r="K247">
        <f>WEEKNUM(tbl_dashboard_ejm[[#This Row],[Fecha]],2)</f>
        <v>44</v>
      </c>
    </row>
    <row r="248" spans="2:11" x14ac:dyDescent="0.3">
      <c r="B248" s="67">
        <v>44494</v>
      </c>
      <c r="C248" t="s">
        <v>182</v>
      </c>
      <c r="D248" t="s">
        <v>165</v>
      </c>
      <c r="E248" t="s">
        <v>162</v>
      </c>
      <c r="F248" t="s">
        <v>169</v>
      </c>
      <c r="G248" s="82">
        <v>3220</v>
      </c>
      <c r="H248" s="82">
        <v>1127</v>
      </c>
      <c r="I248">
        <f>YEAR(tbl_dashboard_ejm[[#This Row],[Fecha]])</f>
        <v>2021</v>
      </c>
      <c r="J248" t="str">
        <f>TEXT(tbl_dashboard_ejm[[#This Row],[Fecha]],"MMMM")</f>
        <v>octubre</v>
      </c>
      <c r="K248">
        <f>WEEKNUM(tbl_dashboard_ejm[[#This Row],[Fecha]],2)</f>
        <v>44</v>
      </c>
    </row>
    <row r="249" spans="2:11" x14ac:dyDescent="0.3">
      <c r="B249" s="67">
        <v>44494</v>
      </c>
      <c r="C249" t="s">
        <v>183</v>
      </c>
      <c r="D249" t="s">
        <v>161</v>
      </c>
      <c r="E249" t="s">
        <v>162</v>
      </c>
      <c r="F249" t="s">
        <v>169</v>
      </c>
      <c r="G249" s="82">
        <v>4507</v>
      </c>
      <c r="H249" s="82">
        <v>1757.73</v>
      </c>
      <c r="I249">
        <f>YEAR(tbl_dashboard_ejm[[#This Row],[Fecha]])</f>
        <v>2021</v>
      </c>
      <c r="J249" t="str">
        <f>TEXT(tbl_dashboard_ejm[[#This Row],[Fecha]],"MMMM")</f>
        <v>octubre</v>
      </c>
      <c r="K249">
        <f>WEEKNUM(tbl_dashboard_ejm[[#This Row],[Fecha]],2)</f>
        <v>44</v>
      </c>
    </row>
    <row r="250" spans="2:11" x14ac:dyDescent="0.3">
      <c r="B250" s="67">
        <v>44494</v>
      </c>
      <c r="C250" t="s">
        <v>184</v>
      </c>
      <c r="D250" t="s">
        <v>161</v>
      </c>
      <c r="E250" t="s">
        <v>162</v>
      </c>
      <c r="F250" t="s">
        <v>169</v>
      </c>
      <c r="G250" s="82">
        <v>11102</v>
      </c>
      <c r="H250" s="82">
        <v>1998.36</v>
      </c>
      <c r="I250">
        <f>YEAR(tbl_dashboard_ejm[[#This Row],[Fecha]])</f>
        <v>2021</v>
      </c>
      <c r="J250" t="str">
        <f>TEXT(tbl_dashboard_ejm[[#This Row],[Fecha]],"MMMM")</f>
        <v>octubre</v>
      </c>
      <c r="K250">
        <f>WEEKNUM(tbl_dashboard_ejm[[#This Row],[Fecha]],2)</f>
        <v>44</v>
      </c>
    </row>
    <row r="251" spans="2:11" x14ac:dyDescent="0.3">
      <c r="B251" s="67">
        <v>44493</v>
      </c>
      <c r="C251" t="s">
        <v>185</v>
      </c>
      <c r="D251" t="s">
        <v>165</v>
      </c>
      <c r="E251" t="s">
        <v>166</v>
      </c>
      <c r="F251" t="s">
        <v>169</v>
      </c>
      <c r="G251" s="82">
        <v>7570</v>
      </c>
      <c r="H251" s="82">
        <v>1286.9000000000001</v>
      </c>
      <c r="I251">
        <f>YEAR(tbl_dashboard_ejm[[#This Row],[Fecha]])</f>
        <v>2021</v>
      </c>
      <c r="J251" t="str">
        <f>TEXT(tbl_dashboard_ejm[[#This Row],[Fecha]],"MMMM")</f>
        <v>octubre</v>
      </c>
      <c r="K251">
        <f>WEEKNUM(tbl_dashboard_ejm[[#This Row],[Fecha]],2)</f>
        <v>43</v>
      </c>
    </row>
    <row r="252" spans="2:11" x14ac:dyDescent="0.3">
      <c r="B252" s="67">
        <v>44499</v>
      </c>
      <c r="C252" t="s">
        <v>186</v>
      </c>
      <c r="D252" t="s">
        <v>168</v>
      </c>
      <c r="E252" t="s">
        <v>166</v>
      </c>
      <c r="F252" t="s">
        <v>163</v>
      </c>
      <c r="G252" s="82">
        <v>5814</v>
      </c>
      <c r="H252" s="82">
        <v>2441.88</v>
      </c>
      <c r="I252">
        <f>YEAR(tbl_dashboard_ejm[[#This Row],[Fecha]])</f>
        <v>2021</v>
      </c>
      <c r="J252" t="str">
        <f>TEXT(tbl_dashboard_ejm[[#This Row],[Fecha]],"MMMM")</f>
        <v>octubre</v>
      </c>
      <c r="K252">
        <f>WEEKNUM(tbl_dashboard_ejm[[#This Row],[Fecha]],2)</f>
        <v>44</v>
      </c>
    </row>
    <row r="253" spans="2:11" x14ac:dyDescent="0.3">
      <c r="B253" s="67">
        <v>44499</v>
      </c>
      <c r="C253" t="s">
        <v>187</v>
      </c>
      <c r="D253" t="s">
        <v>168</v>
      </c>
      <c r="E253" t="s">
        <v>162</v>
      </c>
      <c r="F253" t="s">
        <v>163</v>
      </c>
      <c r="G253" s="82">
        <v>11992</v>
      </c>
      <c r="H253" s="82">
        <v>3237.84</v>
      </c>
      <c r="I253">
        <f>YEAR(tbl_dashboard_ejm[[#This Row],[Fecha]])</f>
        <v>2021</v>
      </c>
      <c r="J253" t="str">
        <f>TEXT(tbl_dashboard_ejm[[#This Row],[Fecha]],"MMMM")</f>
        <v>octubre</v>
      </c>
      <c r="K253">
        <f>WEEKNUM(tbl_dashboard_ejm[[#This Row],[Fecha]],2)</f>
        <v>44</v>
      </c>
    </row>
    <row r="254" spans="2:11" x14ac:dyDescent="0.3">
      <c r="B254" s="67">
        <v>44499</v>
      </c>
      <c r="C254" t="s">
        <v>188</v>
      </c>
      <c r="D254" t="s">
        <v>165</v>
      </c>
      <c r="E254" t="s">
        <v>162</v>
      </c>
      <c r="F254" t="s">
        <v>169</v>
      </c>
      <c r="G254" s="82">
        <v>3193</v>
      </c>
      <c r="H254" s="82">
        <v>574.74</v>
      </c>
      <c r="I254">
        <f>YEAR(tbl_dashboard_ejm[[#This Row],[Fecha]])</f>
        <v>2021</v>
      </c>
      <c r="J254" t="str">
        <f>TEXT(tbl_dashboard_ejm[[#This Row],[Fecha]],"MMMM")</f>
        <v>octubre</v>
      </c>
      <c r="K254">
        <f>WEEKNUM(tbl_dashboard_ejm[[#This Row],[Fecha]],2)</f>
        <v>44</v>
      </c>
    </row>
    <row r="255" spans="2:11" x14ac:dyDescent="0.3">
      <c r="B255" s="67">
        <v>44530</v>
      </c>
      <c r="C255" t="s">
        <v>160</v>
      </c>
      <c r="D255" t="s">
        <v>165</v>
      </c>
      <c r="E255" t="s">
        <v>166</v>
      </c>
      <c r="F255" t="s">
        <v>169</v>
      </c>
      <c r="G255" s="82">
        <v>1372</v>
      </c>
      <c r="H255" s="82">
        <v>466.48</v>
      </c>
      <c r="I255">
        <f>YEAR(tbl_dashboard_ejm[[#This Row],[Fecha]])</f>
        <v>2021</v>
      </c>
      <c r="J255" t="str">
        <f>TEXT(tbl_dashboard_ejm[[#This Row],[Fecha]],"MMMM")</f>
        <v>noviembre</v>
      </c>
      <c r="K255">
        <f>WEEKNUM(tbl_dashboard_ejm[[#This Row],[Fecha]],2)</f>
        <v>49</v>
      </c>
    </row>
    <row r="256" spans="2:11" x14ac:dyDescent="0.3">
      <c r="B256" s="67">
        <v>44530</v>
      </c>
      <c r="C256" t="s">
        <v>164</v>
      </c>
      <c r="D256" t="s">
        <v>165</v>
      </c>
      <c r="E256" t="s">
        <v>166</v>
      </c>
      <c r="F256" t="s">
        <v>163</v>
      </c>
      <c r="G256" s="82">
        <v>8431</v>
      </c>
      <c r="H256" s="82">
        <v>3035.16</v>
      </c>
      <c r="I256">
        <f>YEAR(tbl_dashboard_ejm[[#This Row],[Fecha]])</f>
        <v>2021</v>
      </c>
      <c r="J256" t="str">
        <f>TEXT(tbl_dashboard_ejm[[#This Row],[Fecha]],"MMMM")</f>
        <v>noviembre</v>
      </c>
      <c r="K256">
        <f>WEEKNUM(tbl_dashboard_ejm[[#This Row],[Fecha]],2)</f>
        <v>49</v>
      </c>
    </row>
    <row r="257" spans="2:11" x14ac:dyDescent="0.3">
      <c r="B257" s="67">
        <v>44530</v>
      </c>
      <c r="C257" t="s">
        <v>167</v>
      </c>
      <c r="D257" t="s">
        <v>161</v>
      </c>
      <c r="E257" t="s">
        <v>166</v>
      </c>
      <c r="F257" t="s">
        <v>163</v>
      </c>
      <c r="G257" s="82">
        <v>4509</v>
      </c>
      <c r="H257" s="82">
        <v>721.44</v>
      </c>
      <c r="I257">
        <f>YEAR(tbl_dashboard_ejm[[#This Row],[Fecha]])</f>
        <v>2021</v>
      </c>
      <c r="J257" t="str">
        <f>TEXT(tbl_dashboard_ejm[[#This Row],[Fecha]],"MMMM")</f>
        <v>noviembre</v>
      </c>
      <c r="K257">
        <f>WEEKNUM(tbl_dashboard_ejm[[#This Row],[Fecha]],2)</f>
        <v>49</v>
      </c>
    </row>
    <row r="258" spans="2:11" x14ac:dyDescent="0.3">
      <c r="B258" s="67">
        <v>44530</v>
      </c>
      <c r="C258" t="s">
        <v>170</v>
      </c>
      <c r="D258" t="s">
        <v>165</v>
      </c>
      <c r="E258" t="s">
        <v>166</v>
      </c>
      <c r="F258" t="s">
        <v>169</v>
      </c>
      <c r="G258" s="82">
        <v>10109</v>
      </c>
      <c r="H258" s="82">
        <v>3133.79</v>
      </c>
      <c r="I258">
        <f>YEAR(tbl_dashboard_ejm[[#This Row],[Fecha]])</f>
        <v>2021</v>
      </c>
      <c r="J258" t="str">
        <f>TEXT(tbl_dashboard_ejm[[#This Row],[Fecha]],"MMMM")</f>
        <v>noviembre</v>
      </c>
      <c r="K258">
        <f>WEEKNUM(tbl_dashboard_ejm[[#This Row],[Fecha]],2)</f>
        <v>49</v>
      </c>
    </row>
    <row r="259" spans="2:11" x14ac:dyDescent="0.3">
      <c r="B259" s="67">
        <v>44526</v>
      </c>
      <c r="C259" t="s">
        <v>171</v>
      </c>
      <c r="D259" t="s">
        <v>165</v>
      </c>
      <c r="E259" t="s">
        <v>166</v>
      </c>
      <c r="F259" t="s">
        <v>163</v>
      </c>
      <c r="G259" s="82">
        <v>10307</v>
      </c>
      <c r="H259" s="82">
        <v>2370.61</v>
      </c>
      <c r="I259">
        <f>YEAR(tbl_dashboard_ejm[[#This Row],[Fecha]])</f>
        <v>2021</v>
      </c>
      <c r="J259" t="str">
        <f>TEXT(tbl_dashboard_ejm[[#This Row],[Fecha]],"MMMM")</f>
        <v>noviembre</v>
      </c>
      <c r="K259">
        <f>WEEKNUM(tbl_dashboard_ejm[[#This Row],[Fecha]],2)</f>
        <v>48</v>
      </c>
    </row>
    <row r="260" spans="2:11" x14ac:dyDescent="0.3">
      <c r="B260" s="67">
        <v>44525</v>
      </c>
      <c r="C260" t="s">
        <v>172</v>
      </c>
      <c r="D260" t="s">
        <v>168</v>
      </c>
      <c r="E260" t="s">
        <v>162</v>
      </c>
      <c r="F260" t="s">
        <v>169</v>
      </c>
      <c r="G260" s="82">
        <v>6017</v>
      </c>
      <c r="H260" s="82">
        <v>902.55</v>
      </c>
      <c r="I260">
        <f>YEAR(tbl_dashboard_ejm[[#This Row],[Fecha]])</f>
        <v>2021</v>
      </c>
      <c r="J260" t="str">
        <f>TEXT(tbl_dashboard_ejm[[#This Row],[Fecha]],"MMMM")</f>
        <v>noviembre</v>
      </c>
      <c r="K260">
        <f>WEEKNUM(tbl_dashboard_ejm[[#This Row],[Fecha]],2)</f>
        <v>48</v>
      </c>
    </row>
    <row r="261" spans="2:11" x14ac:dyDescent="0.3">
      <c r="B261" s="67">
        <v>44525</v>
      </c>
      <c r="C261" t="s">
        <v>173</v>
      </c>
      <c r="D261" t="s">
        <v>165</v>
      </c>
      <c r="E261" t="s">
        <v>166</v>
      </c>
      <c r="F261" t="s">
        <v>169</v>
      </c>
      <c r="G261" s="82">
        <v>9031</v>
      </c>
      <c r="H261" s="82">
        <v>3251.16</v>
      </c>
      <c r="I261">
        <f>YEAR(tbl_dashboard_ejm[[#This Row],[Fecha]])</f>
        <v>2021</v>
      </c>
      <c r="J261" t="str">
        <f>TEXT(tbl_dashboard_ejm[[#This Row],[Fecha]],"MMMM")</f>
        <v>noviembre</v>
      </c>
      <c r="K261">
        <f>WEEKNUM(tbl_dashboard_ejm[[#This Row],[Fecha]],2)</f>
        <v>48</v>
      </c>
    </row>
    <row r="262" spans="2:11" x14ac:dyDescent="0.3">
      <c r="B262" s="67">
        <v>44525</v>
      </c>
      <c r="C262" t="s">
        <v>174</v>
      </c>
      <c r="D262" t="s">
        <v>161</v>
      </c>
      <c r="E262" t="s">
        <v>166</v>
      </c>
      <c r="F262" t="s">
        <v>169</v>
      </c>
      <c r="G262" s="82">
        <v>7925</v>
      </c>
      <c r="H262" s="82">
        <v>2694.5</v>
      </c>
      <c r="I262">
        <f>YEAR(tbl_dashboard_ejm[[#This Row],[Fecha]])</f>
        <v>2021</v>
      </c>
      <c r="J262" t="str">
        <f>TEXT(tbl_dashboard_ejm[[#This Row],[Fecha]],"MMMM")</f>
        <v>noviembre</v>
      </c>
      <c r="K262">
        <f>WEEKNUM(tbl_dashboard_ejm[[#This Row],[Fecha]],2)</f>
        <v>48</v>
      </c>
    </row>
    <row r="263" spans="2:11" x14ac:dyDescent="0.3">
      <c r="B263" s="67">
        <v>44525</v>
      </c>
      <c r="C263" t="s">
        <v>175</v>
      </c>
      <c r="D263" t="s">
        <v>161</v>
      </c>
      <c r="E263" t="s">
        <v>162</v>
      </c>
      <c r="F263" t="s">
        <v>169</v>
      </c>
      <c r="G263" s="82">
        <v>8901</v>
      </c>
      <c r="H263" s="82">
        <v>3293.37</v>
      </c>
      <c r="I263">
        <f>YEAR(tbl_dashboard_ejm[[#This Row],[Fecha]])</f>
        <v>2021</v>
      </c>
      <c r="J263" t="str">
        <f>TEXT(tbl_dashboard_ejm[[#This Row],[Fecha]],"MMMM")</f>
        <v>noviembre</v>
      </c>
      <c r="K263">
        <f>WEEKNUM(tbl_dashboard_ejm[[#This Row],[Fecha]],2)</f>
        <v>48</v>
      </c>
    </row>
    <row r="264" spans="2:11" x14ac:dyDescent="0.3">
      <c r="B264" s="67">
        <v>44524</v>
      </c>
      <c r="C264" t="s">
        <v>176</v>
      </c>
      <c r="D264" t="s">
        <v>161</v>
      </c>
      <c r="E264" t="s">
        <v>162</v>
      </c>
      <c r="F264" t="s">
        <v>169</v>
      </c>
      <c r="G264" s="82">
        <v>9810</v>
      </c>
      <c r="H264" s="82">
        <v>2746.8</v>
      </c>
      <c r="I264">
        <f>YEAR(tbl_dashboard_ejm[[#This Row],[Fecha]])</f>
        <v>2021</v>
      </c>
      <c r="J264" t="str">
        <f>TEXT(tbl_dashboard_ejm[[#This Row],[Fecha]],"MMMM")</f>
        <v>noviembre</v>
      </c>
      <c r="K264">
        <f>WEEKNUM(tbl_dashboard_ejm[[#This Row],[Fecha]],2)</f>
        <v>48</v>
      </c>
    </row>
    <row r="265" spans="2:11" x14ac:dyDescent="0.3">
      <c r="B265" s="67">
        <v>44524</v>
      </c>
      <c r="C265" t="s">
        <v>177</v>
      </c>
      <c r="D265" t="s">
        <v>168</v>
      </c>
      <c r="E265" t="s">
        <v>166</v>
      </c>
      <c r="F265" t="s">
        <v>163</v>
      </c>
      <c r="G265" s="82">
        <v>9957</v>
      </c>
      <c r="H265" s="82">
        <v>2887.53</v>
      </c>
      <c r="I265">
        <f>YEAR(tbl_dashboard_ejm[[#This Row],[Fecha]])</f>
        <v>2021</v>
      </c>
      <c r="J265" t="str">
        <f>TEXT(tbl_dashboard_ejm[[#This Row],[Fecha]],"MMMM")</f>
        <v>noviembre</v>
      </c>
      <c r="K265">
        <f>WEEKNUM(tbl_dashboard_ejm[[#This Row],[Fecha]],2)</f>
        <v>48</v>
      </c>
    </row>
    <row r="266" spans="2:11" x14ac:dyDescent="0.3">
      <c r="B266" s="67">
        <v>44524</v>
      </c>
      <c r="C266" t="s">
        <v>178</v>
      </c>
      <c r="D266" t="s">
        <v>161</v>
      </c>
      <c r="E266" t="s">
        <v>162</v>
      </c>
      <c r="F266" t="s">
        <v>163</v>
      </c>
      <c r="G266" s="82">
        <v>5605</v>
      </c>
      <c r="H266" s="82">
        <v>1849.65</v>
      </c>
      <c r="I266">
        <f>YEAR(tbl_dashboard_ejm[[#This Row],[Fecha]])</f>
        <v>2021</v>
      </c>
      <c r="J266" t="str">
        <f>TEXT(tbl_dashboard_ejm[[#This Row],[Fecha]],"MMMM")</f>
        <v>noviembre</v>
      </c>
      <c r="K266">
        <f>WEEKNUM(tbl_dashboard_ejm[[#This Row],[Fecha]],2)</f>
        <v>48</v>
      </c>
    </row>
    <row r="267" spans="2:11" x14ac:dyDescent="0.3">
      <c r="B267" s="67">
        <v>44524</v>
      </c>
      <c r="C267" t="s">
        <v>179</v>
      </c>
      <c r="D267" t="s">
        <v>161</v>
      </c>
      <c r="E267" t="s">
        <v>162</v>
      </c>
      <c r="F267" t="s">
        <v>169</v>
      </c>
      <c r="G267" s="82">
        <v>9870</v>
      </c>
      <c r="H267" s="82">
        <v>2566.1999999999998</v>
      </c>
      <c r="I267">
        <f>YEAR(tbl_dashboard_ejm[[#This Row],[Fecha]])</f>
        <v>2021</v>
      </c>
      <c r="J267" t="str">
        <f>TEXT(tbl_dashboard_ejm[[#This Row],[Fecha]],"MMMM")</f>
        <v>noviembre</v>
      </c>
      <c r="K267">
        <f>WEEKNUM(tbl_dashboard_ejm[[#This Row],[Fecha]],2)</f>
        <v>48</v>
      </c>
    </row>
    <row r="268" spans="2:11" x14ac:dyDescent="0.3">
      <c r="B268" s="67">
        <v>44524</v>
      </c>
      <c r="C268" t="s">
        <v>180</v>
      </c>
      <c r="D268" t="s">
        <v>168</v>
      </c>
      <c r="E268" t="s">
        <v>166</v>
      </c>
      <c r="F268" t="s">
        <v>169</v>
      </c>
      <c r="G268" s="82">
        <v>11359</v>
      </c>
      <c r="H268" s="82">
        <v>2044.62</v>
      </c>
      <c r="I268">
        <f>YEAR(tbl_dashboard_ejm[[#This Row],[Fecha]])</f>
        <v>2021</v>
      </c>
      <c r="J268" t="str">
        <f>TEXT(tbl_dashboard_ejm[[#This Row],[Fecha]],"MMMM")</f>
        <v>noviembre</v>
      </c>
      <c r="K268">
        <f>WEEKNUM(tbl_dashboard_ejm[[#This Row],[Fecha]],2)</f>
        <v>48</v>
      </c>
    </row>
    <row r="269" spans="2:11" x14ac:dyDescent="0.3">
      <c r="B269" s="67">
        <v>44561</v>
      </c>
      <c r="C269" t="s">
        <v>160</v>
      </c>
      <c r="D269" t="s">
        <v>161</v>
      </c>
      <c r="E269" t="s">
        <v>162</v>
      </c>
      <c r="F269" t="s">
        <v>163</v>
      </c>
      <c r="G269" s="82">
        <v>9217</v>
      </c>
      <c r="H269" s="82">
        <v>3963.31</v>
      </c>
      <c r="I269">
        <f>YEAR(tbl_dashboard_ejm[[#This Row],[Fecha]])</f>
        <v>2021</v>
      </c>
      <c r="J269" t="str">
        <f>TEXT(tbl_dashboard_ejm[[#This Row],[Fecha]],"MMMM")</f>
        <v>diciembre</v>
      </c>
      <c r="K269">
        <f>WEEKNUM(tbl_dashboard_ejm[[#This Row],[Fecha]],2)</f>
        <v>53</v>
      </c>
    </row>
    <row r="270" spans="2:11" x14ac:dyDescent="0.3">
      <c r="B270" s="67">
        <v>44561</v>
      </c>
      <c r="C270" t="s">
        <v>164</v>
      </c>
      <c r="D270" t="s">
        <v>168</v>
      </c>
      <c r="E270" t="s">
        <v>162</v>
      </c>
      <c r="F270" t="s">
        <v>163</v>
      </c>
      <c r="G270" s="82">
        <v>4345</v>
      </c>
      <c r="H270" s="82">
        <v>825.55</v>
      </c>
      <c r="I270">
        <f>YEAR(tbl_dashboard_ejm[[#This Row],[Fecha]])</f>
        <v>2021</v>
      </c>
      <c r="J270" t="str">
        <f>TEXT(tbl_dashboard_ejm[[#This Row],[Fecha]],"MMMM")</f>
        <v>diciembre</v>
      </c>
      <c r="K270">
        <f>WEEKNUM(tbl_dashboard_ejm[[#This Row],[Fecha]],2)</f>
        <v>53</v>
      </c>
    </row>
    <row r="271" spans="2:11" x14ac:dyDescent="0.3">
      <c r="B271" s="67">
        <v>44560</v>
      </c>
      <c r="C271" t="s">
        <v>167</v>
      </c>
      <c r="D271" t="s">
        <v>168</v>
      </c>
      <c r="E271" t="s">
        <v>162</v>
      </c>
      <c r="F271" t="s">
        <v>169</v>
      </c>
      <c r="G271" s="82">
        <v>9723</v>
      </c>
      <c r="H271" s="82">
        <v>1555.68</v>
      </c>
      <c r="I271">
        <f>YEAR(tbl_dashboard_ejm[[#This Row],[Fecha]])</f>
        <v>2021</v>
      </c>
      <c r="J271" t="str">
        <f>TEXT(tbl_dashboard_ejm[[#This Row],[Fecha]],"MMMM")</f>
        <v>diciembre</v>
      </c>
      <c r="K271">
        <f>WEEKNUM(tbl_dashboard_ejm[[#This Row],[Fecha]],2)</f>
        <v>53</v>
      </c>
    </row>
    <row r="272" spans="2:11" x14ac:dyDescent="0.3">
      <c r="B272" s="67">
        <v>44556</v>
      </c>
      <c r="C272" t="s">
        <v>170</v>
      </c>
      <c r="D272" t="s">
        <v>168</v>
      </c>
      <c r="E272" t="s">
        <v>162</v>
      </c>
      <c r="F272" t="s">
        <v>163</v>
      </c>
      <c r="G272" s="82">
        <v>7952</v>
      </c>
      <c r="H272" s="82">
        <v>2783.2</v>
      </c>
      <c r="I272">
        <f>YEAR(tbl_dashboard_ejm[[#This Row],[Fecha]])</f>
        <v>2021</v>
      </c>
      <c r="J272" t="str">
        <f>TEXT(tbl_dashboard_ejm[[#This Row],[Fecha]],"MMMM")</f>
        <v>diciembre</v>
      </c>
      <c r="K272">
        <f>WEEKNUM(tbl_dashboard_ejm[[#This Row],[Fecha]],2)</f>
        <v>52</v>
      </c>
    </row>
    <row r="273" spans="2:11" x14ac:dyDescent="0.3">
      <c r="B273" s="67">
        <v>44555</v>
      </c>
      <c r="C273" t="s">
        <v>171</v>
      </c>
      <c r="D273" t="s">
        <v>168</v>
      </c>
      <c r="E273" t="s">
        <v>162</v>
      </c>
      <c r="F273" t="s">
        <v>169</v>
      </c>
      <c r="G273" s="82">
        <v>6961</v>
      </c>
      <c r="H273" s="82">
        <v>1531.42</v>
      </c>
      <c r="I273">
        <f>YEAR(tbl_dashboard_ejm[[#This Row],[Fecha]])</f>
        <v>2021</v>
      </c>
      <c r="J273" t="str">
        <f>TEXT(tbl_dashboard_ejm[[#This Row],[Fecha]],"MMMM")</f>
        <v>diciembre</v>
      </c>
      <c r="K273">
        <f>WEEKNUM(tbl_dashboard_ejm[[#This Row],[Fecha]],2)</f>
        <v>52</v>
      </c>
    </row>
    <row r="274" spans="2:11" x14ac:dyDescent="0.3">
      <c r="B274" s="67">
        <v>44555</v>
      </c>
      <c r="C274" t="s">
        <v>172</v>
      </c>
      <c r="D274" t="s">
        <v>165</v>
      </c>
      <c r="E274" t="s">
        <v>166</v>
      </c>
      <c r="F274" t="s">
        <v>169</v>
      </c>
      <c r="G274" s="82">
        <v>6548</v>
      </c>
      <c r="H274" s="82">
        <v>1440.56</v>
      </c>
      <c r="I274">
        <f>YEAR(tbl_dashboard_ejm[[#This Row],[Fecha]])</f>
        <v>2021</v>
      </c>
      <c r="J274" t="str">
        <f>TEXT(tbl_dashboard_ejm[[#This Row],[Fecha]],"MMMM")</f>
        <v>diciembre</v>
      </c>
      <c r="K274">
        <f>WEEKNUM(tbl_dashboard_ejm[[#This Row],[Fecha]],2)</f>
        <v>52</v>
      </c>
    </row>
    <row r="275" spans="2:11" x14ac:dyDescent="0.3">
      <c r="B275" s="67">
        <v>44555</v>
      </c>
      <c r="C275" t="s">
        <v>173</v>
      </c>
      <c r="D275" t="s">
        <v>168</v>
      </c>
      <c r="E275" t="s">
        <v>162</v>
      </c>
      <c r="F275" t="s">
        <v>169</v>
      </c>
      <c r="G275" s="82">
        <v>3593</v>
      </c>
      <c r="H275" s="82">
        <v>1077.9000000000001</v>
      </c>
      <c r="I275">
        <f>YEAR(tbl_dashboard_ejm[[#This Row],[Fecha]])</f>
        <v>2021</v>
      </c>
      <c r="J275" t="str">
        <f>TEXT(tbl_dashboard_ejm[[#This Row],[Fecha]],"MMMM")</f>
        <v>diciembre</v>
      </c>
      <c r="K275">
        <f>WEEKNUM(tbl_dashboard_ejm[[#This Row],[Fecha]],2)</f>
        <v>52</v>
      </c>
    </row>
    <row r="276" spans="2:11" x14ac:dyDescent="0.3">
      <c r="B276" s="67">
        <v>44555</v>
      </c>
      <c r="C276" t="s">
        <v>174</v>
      </c>
      <c r="D276" t="s">
        <v>161</v>
      </c>
      <c r="E276" t="s">
        <v>162</v>
      </c>
      <c r="F276" t="s">
        <v>169</v>
      </c>
      <c r="G276" s="82">
        <v>5853</v>
      </c>
      <c r="H276" s="82">
        <v>1872.96</v>
      </c>
      <c r="I276">
        <f>YEAR(tbl_dashboard_ejm[[#This Row],[Fecha]])</f>
        <v>2021</v>
      </c>
      <c r="J276" t="str">
        <f>TEXT(tbl_dashboard_ejm[[#This Row],[Fecha]],"MMMM")</f>
        <v>diciembre</v>
      </c>
      <c r="K276">
        <f>WEEKNUM(tbl_dashboard_ejm[[#This Row],[Fecha]],2)</f>
        <v>52</v>
      </c>
    </row>
    <row r="277" spans="2:11" x14ac:dyDescent="0.3">
      <c r="B277" s="67">
        <v>44554</v>
      </c>
      <c r="C277" t="s">
        <v>175</v>
      </c>
      <c r="D277" t="s">
        <v>165</v>
      </c>
      <c r="E277" t="s">
        <v>162</v>
      </c>
      <c r="F277" t="s">
        <v>169</v>
      </c>
      <c r="G277" s="82">
        <v>5275</v>
      </c>
      <c r="H277" s="82">
        <v>844</v>
      </c>
      <c r="I277">
        <f>YEAR(tbl_dashboard_ejm[[#This Row],[Fecha]])</f>
        <v>2021</v>
      </c>
      <c r="J277" t="str">
        <f>TEXT(tbl_dashboard_ejm[[#This Row],[Fecha]],"MMMM")</f>
        <v>diciembre</v>
      </c>
      <c r="K277">
        <f>WEEKNUM(tbl_dashboard_ejm[[#This Row],[Fecha]],2)</f>
        <v>52</v>
      </c>
    </row>
    <row r="278" spans="2:11" x14ac:dyDescent="0.3">
      <c r="B278" s="67">
        <v>44560</v>
      </c>
      <c r="C278" t="s">
        <v>176</v>
      </c>
      <c r="D278" t="s">
        <v>168</v>
      </c>
      <c r="E278" t="s">
        <v>166</v>
      </c>
      <c r="F278" t="s">
        <v>163</v>
      </c>
      <c r="G278" s="82">
        <v>11826</v>
      </c>
      <c r="H278" s="82">
        <v>2601.7199999999998</v>
      </c>
      <c r="I278">
        <f>YEAR(tbl_dashboard_ejm[[#This Row],[Fecha]])</f>
        <v>2021</v>
      </c>
      <c r="J278" t="str">
        <f>TEXT(tbl_dashboard_ejm[[#This Row],[Fecha]],"MMMM")</f>
        <v>diciembre</v>
      </c>
      <c r="K278">
        <f>WEEKNUM(tbl_dashboard_ejm[[#This Row],[Fecha]],2)</f>
        <v>53</v>
      </c>
    </row>
    <row r="279" spans="2:11" x14ac:dyDescent="0.3">
      <c r="B279" s="67">
        <v>44560</v>
      </c>
      <c r="C279" t="s">
        <v>177</v>
      </c>
      <c r="D279" t="s">
        <v>165</v>
      </c>
      <c r="E279" t="s">
        <v>162</v>
      </c>
      <c r="F279" t="s">
        <v>163</v>
      </c>
      <c r="G279" s="82">
        <v>2409</v>
      </c>
      <c r="H279" s="82">
        <v>385.44</v>
      </c>
      <c r="I279">
        <f>YEAR(tbl_dashboard_ejm[[#This Row],[Fecha]])</f>
        <v>2021</v>
      </c>
      <c r="J279" t="str">
        <f>TEXT(tbl_dashboard_ejm[[#This Row],[Fecha]],"MMMM")</f>
        <v>diciembre</v>
      </c>
      <c r="K279">
        <f>WEEKNUM(tbl_dashboard_ejm[[#This Row],[Fecha]],2)</f>
        <v>53</v>
      </c>
    </row>
    <row r="280" spans="2:11" x14ac:dyDescent="0.3">
      <c r="B280" s="67">
        <v>44560</v>
      </c>
      <c r="C280" t="s">
        <v>178</v>
      </c>
      <c r="D280" t="s">
        <v>165</v>
      </c>
      <c r="E280" t="s">
        <v>166</v>
      </c>
      <c r="F280" t="s">
        <v>169</v>
      </c>
      <c r="G280" s="82">
        <v>7454</v>
      </c>
      <c r="H280" s="82">
        <v>2907.06</v>
      </c>
      <c r="I280">
        <f>YEAR(tbl_dashboard_ejm[[#This Row],[Fecha]])</f>
        <v>2021</v>
      </c>
      <c r="J280" t="str">
        <f>TEXT(tbl_dashboard_ejm[[#This Row],[Fecha]],"MMMM")</f>
        <v>diciembre</v>
      </c>
      <c r="K280">
        <f>WEEKNUM(tbl_dashboard_ejm[[#This Row],[Fecha]],2)</f>
        <v>53</v>
      </c>
    </row>
    <row r="281" spans="2:11" x14ac:dyDescent="0.3">
      <c r="B281" s="67">
        <v>44560</v>
      </c>
      <c r="C281" t="s">
        <v>179</v>
      </c>
      <c r="D281" t="s">
        <v>165</v>
      </c>
      <c r="E281" t="s">
        <v>166</v>
      </c>
      <c r="F281" t="s">
        <v>169</v>
      </c>
      <c r="G281" s="82">
        <v>9160</v>
      </c>
      <c r="H281" s="82">
        <v>3572.4</v>
      </c>
      <c r="I281">
        <f>YEAR(tbl_dashboard_ejm[[#This Row],[Fecha]])</f>
        <v>2021</v>
      </c>
      <c r="J281" t="str">
        <f>TEXT(tbl_dashboard_ejm[[#This Row],[Fecha]],"MMMM")</f>
        <v>diciembre</v>
      </c>
      <c r="K281">
        <f>WEEKNUM(tbl_dashboard_ejm[[#This Row],[Fecha]],2)</f>
        <v>53</v>
      </c>
    </row>
    <row r="282" spans="2:11" x14ac:dyDescent="0.3">
      <c r="B282" s="67">
        <v>44560</v>
      </c>
      <c r="C282" t="s">
        <v>180</v>
      </c>
      <c r="D282" t="s">
        <v>161</v>
      </c>
      <c r="E282" t="s">
        <v>162</v>
      </c>
      <c r="F282" t="s">
        <v>163</v>
      </c>
      <c r="G282" s="82">
        <v>3444</v>
      </c>
      <c r="H282" s="82">
        <v>723.24</v>
      </c>
      <c r="I282">
        <f>YEAR(tbl_dashboard_ejm[[#This Row],[Fecha]])</f>
        <v>2021</v>
      </c>
      <c r="J282" t="str">
        <f>TEXT(tbl_dashboard_ejm[[#This Row],[Fecha]],"MMMM")</f>
        <v>diciembre</v>
      </c>
      <c r="K282">
        <f>WEEKNUM(tbl_dashboard_ejm[[#This Row],[Fecha]],2)</f>
        <v>53</v>
      </c>
    </row>
    <row r="283" spans="2:11" x14ac:dyDescent="0.3">
      <c r="B283" s="67">
        <v>44560</v>
      </c>
      <c r="C283" t="s">
        <v>181</v>
      </c>
      <c r="D283" t="s">
        <v>168</v>
      </c>
      <c r="E283" t="s">
        <v>166</v>
      </c>
      <c r="F283" t="s">
        <v>163</v>
      </c>
      <c r="G283" s="82">
        <v>10015</v>
      </c>
      <c r="H283" s="82">
        <v>2203.3000000000002</v>
      </c>
      <c r="I283">
        <f>YEAR(tbl_dashboard_ejm[[#This Row],[Fecha]])</f>
        <v>2021</v>
      </c>
      <c r="J283" t="str">
        <f>TEXT(tbl_dashboard_ejm[[#This Row],[Fecha]],"MMMM")</f>
        <v>diciembre</v>
      </c>
      <c r="K283">
        <f>WEEKNUM(tbl_dashboard_ejm[[#This Row],[Fecha]],2)</f>
        <v>53</v>
      </c>
    </row>
    <row r="284" spans="2:11" x14ac:dyDescent="0.3">
      <c r="B284" s="67">
        <v>44560</v>
      </c>
      <c r="C284" t="s">
        <v>182</v>
      </c>
      <c r="D284" t="s">
        <v>168</v>
      </c>
      <c r="E284" t="s">
        <v>166</v>
      </c>
      <c r="F284" t="s">
        <v>169</v>
      </c>
      <c r="G284" s="82">
        <v>9346</v>
      </c>
      <c r="H284" s="82">
        <v>1869.2</v>
      </c>
      <c r="I284">
        <f>YEAR(tbl_dashboard_ejm[[#This Row],[Fecha]])</f>
        <v>2021</v>
      </c>
      <c r="J284" t="str">
        <f>TEXT(tbl_dashboard_ejm[[#This Row],[Fecha]],"MMMM")</f>
        <v>diciembre</v>
      </c>
      <c r="K284">
        <f>WEEKNUM(tbl_dashboard_ejm[[#This Row],[Fecha]],2)</f>
        <v>53</v>
      </c>
    </row>
    <row r="285" spans="2:11" x14ac:dyDescent="0.3">
      <c r="B285" s="67">
        <v>44556</v>
      </c>
      <c r="C285" t="s">
        <v>183</v>
      </c>
      <c r="D285" t="s">
        <v>168</v>
      </c>
      <c r="E285" t="s">
        <v>162</v>
      </c>
      <c r="F285" t="s">
        <v>163</v>
      </c>
      <c r="G285" s="82">
        <v>1088</v>
      </c>
      <c r="H285" s="82">
        <v>348.16</v>
      </c>
      <c r="I285">
        <f>YEAR(tbl_dashboard_ejm[[#This Row],[Fecha]])</f>
        <v>2021</v>
      </c>
      <c r="J285" t="str">
        <f>TEXT(tbl_dashboard_ejm[[#This Row],[Fecha]],"MMMM")</f>
        <v>diciembre</v>
      </c>
      <c r="K285">
        <f>WEEKNUM(tbl_dashboard_ejm[[#This Row],[Fecha]],2)</f>
        <v>52</v>
      </c>
    </row>
    <row r="286" spans="2:11" x14ac:dyDescent="0.3">
      <c r="B286" s="67">
        <v>44555</v>
      </c>
      <c r="C286" t="s">
        <v>184</v>
      </c>
      <c r="D286" t="s">
        <v>165</v>
      </c>
      <c r="E286" t="s">
        <v>162</v>
      </c>
      <c r="F286" t="s">
        <v>169</v>
      </c>
      <c r="G286" s="82">
        <v>8624</v>
      </c>
      <c r="H286" s="82">
        <v>2500.96</v>
      </c>
      <c r="I286">
        <f>YEAR(tbl_dashboard_ejm[[#This Row],[Fecha]])</f>
        <v>2021</v>
      </c>
      <c r="J286" t="str">
        <f>TEXT(tbl_dashboard_ejm[[#This Row],[Fecha]],"MMMM")</f>
        <v>diciembre</v>
      </c>
      <c r="K286">
        <f>WEEKNUM(tbl_dashboard_ejm[[#This Row],[Fecha]],2)</f>
        <v>52</v>
      </c>
    </row>
    <row r="287" spans="2:11" x14ac:dyDescent="0.3">
      <c r="B287" s="67">
        <v>44555</v>
      </c>
      <c r="C287" t="s">
        <v>185</v>
      </c>
      <c r="D287" t="s">
        <v>168</v>
      </c>
      <c r="E287" t="s">
        <v>166</v>
      </c>
      <c r="F287" t="s">
        <v>169</v>
      </c>
      <c r="G287" s="82">
        <v>5160</v>
      </c>
      <c r="H287" s="82">
        <v>928.8</v>
      </c>
      <c r="I287">
        <f>YEAR(tbl_dashboard_ejm[[#This Row],[Fecha]])</f>
        <v>2021</v>
      </c>
      <c r="J287" t="str">
        <f>TEXT(tbl_dashboard_ejm[[#This Row],[Fecha]],"MMMM")</f>
        <v>diciembre</v>
      </c>
      <c r="K287">
        <f>WEEKNUM(tbl_dashboard_ejm[[#This Row],[Fecha]],2)</f>
        <v>52</v>
      </c>
    </row>
    <row r="288" spans="2:11" x14ac:dyDescent="0.3">
      <c r="B288" s="67">
        <v>44555</v>
      </c>
      <c r="C288" t="s">
        <v>186</v>
      </c>
      <c r="D288" t="s">
        <v>161</v>
      </c>
      <c r="E288" t="s">
        <v>162</v>
      </c>
      <c r="F288" t="s">
        <v>169</v>
      </c>
      <c r="G288" s="82">
        <v>3752</v>
      </c>
      <c r="H288" s="82">
        <v>1238.1600000000001</v>
      </c>
      <c r="I288">
        <f>YEAR(tbl_dashboard_ejm[[#This Row],[Fecha]])</f>
        <v>2021</v>
      </c>
      <c r="J288" t="str">
        <f>TEXT(tbl_dashboard_ejm[[#This Row],[Fecha]],"MMMM")</f>
        <v>diciembre</v>
      </c>
      <c r="K288">
        <f>WEEKNUM(tbl_dashboard_ejm[[#This Row],[Fecha]],2)</f>
        <v>52</v>
      </c>
    </row>
    <row r="289" spans="2:11" x14ac:dyDescent="0.3">
      <c r="B289" s="67">
        <v>44555</v>
      </c>
      <c r="C289" t="s">
        <v>187</v>
      </c>
      <c r="D289" t="s">
        <v>165</v>
      </c>
      <c r="E289" t="s">
        <v>162</v>
      </c>
      <c r="F289" t="s">
        <v>169</v>
      </c>
      <c r="G289" s="82">
        <v>3376</v>
      </c>
      <c r="H289" s="82">
        <v>1080.32</v>
      </c>
      <c r="I289">
        <f>YEAR(tbl_dashboard_ejm[[#This Row],[Fecha]])</f>
        <v>2021</v>
      </c>
      <c r="J289" t="str">
        <f>TEXT(tbl_dashboard_ejm[[#This Row],[Fecha]],"MMMM")</f>
        <v>diciembre</v>
      </c>
      <c r="K289">
        <f>WEEKNUM(tbl_dashboard_ejm[[#This Row],[Fecha]],2)</f>
        <v>52</v>
      </c>
    </row>
    <row r="290" spans="2:11" x14ac:dyDescent="0.3">
      <c r="B290" s="67">
        <v>44555</v>
      </c>
      <c r="C290" t="s">
        <v>188</v>
      </c>
      <c r="D290" t="s">
        <v>161</v>
      </c>
      <c r="E290" t="s">
        <v>162</v>
      </c>
      <c r="F290" t="s">
        <v>169</v>
      </c>
      <c r="G290" s="82">
        <v>8341</v>
      </c>
      <c r="H290" s="82">
        <v>2085.25</v>
      </c>
      <c r="I290">
        <f>YEAR(tbl_dashboard_ejm[[#This Row],[Fecha]])</f>
        <v>2021</v>
      </c>
      <c r="J290" t="str">
        <f>TEXT(tbl_dashboard_ejm[[#This Row],[Fecha]],"MMMM")</f>
        <v>diciembre</v>
      </c>
      <c r="K290">
        <f>WEEKNUM(tbl_dashboard_ejm[[#This Row],[Fecha]],2)</f>
        <v>52</v>
      </c>
    </row>
    <row r="291" spans="2:11" x14ac:dyDescent="0.3">
      <c r="B291" s="67">
        <v>43861</v>
      </c>
      <c r="C291" t="s">
        <v>160</v>
      </c>
      <c r="D291" t="s">
        <v>161</v>
      </c>
      <c r="E291" t="s">
        <v>162</v>
      </c>
      <c r="F291" t="s">
        <v>163</v>
      </c>
      <c r="G291" s="82">
        <v>4423</v>
      </c>
      <c r="H291" s="82">
        <v>707.68</v>
      </c>
      <c r="I291">
        <f>YEAR(tbl_dashboard_ejm[[#This Row],[Fecha]])</f>
        <v>2020</v>
      </c>
      <c r="J291" t="str">
        <f>TEXT(tbl_dashboard_ejm[[#This Row],[Fecha]],"MMMM")</f>
        <v>enero</v>
      </c>
      <c r="K291">
        <f>WEEKNUM(tbl_dashboard_ejm[[#This Row],[Fecha]],2)</f>
        <v>5</v>
      </c>
    </row>
    <row r="292" spans="2:11" x14ac:dyDescent="0.3">
      <c r="B292" s="67">
        <v>43861</v>
      </c>
      <c r="C292" t="s">
        <v>164</v>
      </c>
      <c r="D292" t="s">
        <v>165</v>
      </c>
      <c r="E292" t="s">
        <v>166</v>
      </c>
      <c r="F292" t="s">
        <v>163</v>
      </c>
      <c r="G292" s="82">
        <v>11716</v>
      </c>
      <c r="H292" s="82">
        <v>1757.4</v>
      </c>
      <c r="I292">
        <f>YEAR(tbl_dashboard_ejm[[#This Row],[Fecha]])</f>
        <v>2020</v>
      </c>
      <c r="J292" t="str">
        <f>TEXT(tbl_dashboard_ejm[[#This Row],[Fecha]],"MMMM")</f>
        <v>enero</v>
      </c>
      <c r="K292">
        <f>WEEKNUM(tbl_dashboard_ejm[[#This Row],[Fecha]],2)</f>
        <v>5</v>
      </c>
    </row>
    <row r="293" spans="2:11" x14ac:dyDescent="0.3">
      <c r="B293" s="67">
        <v>43861</v>
      </c>
      <c r="C293" t="s">
        <v>167</v>
      </c>
      <c r="D293" t="s">
        <v>168</v>
      </c>
      <c r="E293" t="s">
        <v>166</v>
      </c>
      <c r="F293" t="s">
        <v>169</v>
      </c>
      <c r="G293" s="82">
        <v>1866</v>
      </c>
      <c r="H293" s="82">
        <v>578.46</v>
      </c>
      <c r="I293">
        <f>YEAR(tbl_dashboard_ejm[[#This Row],[Fecha]])</f>
        <v>2020</v>
      </c>
      <c r="J293" t="str">
        <f>TEXT(tbl_dashboard_ejm[[#This Row],[Fecha]],"MMMM")</f>
        <v>enero</v>
      </c>
      <c r="K293">
        <f>WEEKNUM(tbl_dashboard_ejm[[#This Row],[Fecha]],2)</f>
        <v>5</v>
      </c>
    </row>
    <row r="294" spans="2:11" x14ac:dyDescent="0.3">
      <c r="B294" s="67">
        <v>43861</v>
      </c>
      <c r="C294" t="s">
        <v>170</v>
      </c>
      <c r="D294" t="s">
        <v>165</v>
      </c>
      <c r="E294" t="s">
        <v>162</v>
      </c>
      <c r="F294" t="s">
        <v>169</v>
      </c>
      <c r="G294" s="82">
        <v>4535</v>
      </c>
      <c r="H294" s="82">
        <v>2040.75</v>
      </c>
      <c r="I294">
        <f>YEAR(tbl_dashboard_ejm[[#This Row],[Fecha]])</f>
        <v>2020</v>
      </c>
      <c r="J294" t="str">
        <f>TEXT(tbl_dashboard_ejm[[#This Row],[Fecha]],"MMMM")</f>
        <v>enero</v>
      </c>
      <c r="K294">
        <f>WEEKNUM(tbl_dashboard_ejm[[#This Row],[Fecha]],2)</f>
        <v>5</v>
      </c>
    </row>
    <row r="295" spans="2:11" x14ac:dyDescent="0.3">
      <c r="B295" s="67">
        <v>43861</v>
      </c>
      <c r="C295" t="s">
        <v>171</v>
      </c>
      <c r="D295" t="s">
        <v>165</v>
      </c>
      <c r="E295" t="s">
        <v>162</v>
      </c>
      <c r="F295" t="s">
        <v>163</v>
      </c>
      <c r="G295" s="82">
        <v>5924</v>
      </c>
      <c r="H295" s="82">
        <v>2073.4</v>
      </c>
      <c r="I295">
        <f>YEAR(tbl_dashboard_ejm[[#This Row],[Fecha]])</f>
        <v>2020</v>
      </c>
      <c r="J295" t="str">
        <f>TEXT(tbl_dashboard_ejm[[#This Row],[Fecha]],"MMMM")</f>
        <v>enero</v>
      </c>
      <c r="K295">
        <f>WEEKNUM(tbl_dashboard_ejm[[#This Row],[Fecha]],2)</f>
        <v>5</v>
      </c>
    </row>
    <row r="296" spans="2:11" x14ac:dyDescent="0.3">
      <c r="B296" s="67">
        <v>43861</v>
      </c>
      <c r="C296" t="s">
        <v>172</v>
      </c>
      <c r="D296" t="s">
        <v>165</v>
      </c>
      <c r="E296" t="s">
        <v>162</v>
      </c>
      <c r="F296" t="s">
        <v>163</v>
      </c>
      <c r="G296" s="82">
        <v>4789</v>
      </c>
      <c r="H296" s="82">
        <v>1388.81</v>
      </c>
      <c r="I296">
        <f>YEAR(tbl_dashboard_ejm[[#This Row],[Fecha]])</f>
        <v>2020</v>
      </c>
      <c r="J296" t="str">
        <f>TEXT(tbl_dashboard_ejm[[#This Row],[Fecha]],"MMMM")</f>
        <v>enero</v>
      </c>
      <c r="K296">
        <f>WEEKNUM(tbl_dashboard_ejm[[#This Row],[Fecha]],2)</f>
        <v>5</v>
      </c>
    </row>
    <row r="297" spans="2:11" x14ac:dyDescent="0.3">
      <c r="B297" s="67">
        <v>43860</v>
      </c>
      <c r="C297" t="s">
        <v>173</v>
      </c>
      <c r="D297" t="s">
        <v>161</v>
      </c>
      <c r="E297" t="s">
        <v>166</v>
      </c>
      <c r="F297" t="s">
        <v>169</v>
      </c>
      <c r="G297" s="82">
        <v>4853</v>
      </c>
      <c r="H297" s="82">
        <v>1941.2</v>
      </c>
      <c r="I297">
        <f>YEAR(tbl_dashboard_ejm[[#This Row],[Fecha]])</f>
        <v>2020</v>
      </c>
      <c r="J297" t="str">
        <f>TEXT(tbl_dashboard_ejm[[#This Row],[Fecha]],"MMMM")</f>
        <v>enero</v>
      </c>
      <c r="K297">
        <f>WEEKNUM(tbl_dashboard_ejm[[#This Row],[Fecha]],2)</f>
        <v>5</v>
      </c>
    </row>
    <row r="298" spans="2:11" x14ac:dyDescent="0.3">
      <c r="B298" s="67">
        <v>43856</v>
      </c>
      <c r="C298" t="s">
        <v>174</v>
      </c>
      <c r="D298" t="s">
        <v>165</v>
      </c>
      <c r="E298" t="s">
        <v>166</v>
      </c>
      <c r="F298" t="s">
        <v>163</v>
      </c>
      <c r="G298" s="82">
        <v>6444</v>
      </c>
      <c r="H298" s="82">
        <v>2706.48</v>
      </c>
      <c r="I298">
        <f>YEAR(tbl_dashboard_ejm[[#This Row],[Fecha]])</f>
        <v>2020</v>
      </c>
      <c r="J298" t="str">
        <f>TEXT(tbl_dashboard_ejm[[#This Row],[Fecha]],"MMMM")</f>
        <v>enero</v>
      </c>
      <c r="K298">
        <f>WEEKNUM(tbl_dashboard_ejm[[#This Row],[Fecha]],2)</f>
        <v>4</v>
      </c>
    </row>
    <row r="299" spans="2:11" x14ac:dyDescent="0.3">
      <c r="B299" s="67">
        <v>43855</v>
      </c>
      <c r="C299" t="s">
        <v>175</v>
      </c>
      <c r="D299" t="s">
        <v>168</v>
      </c>
      <c r="E299" t="s">
        <v>166</v>
      </c>
      <c r="F299" t="s">
        <v>169</v>
      </c>
      <c r="G299" s="82">
        <v>7286</v>
      </c>
      <c r="H299" s="82">
        <v>1821.5</v>
      </c>
      <c r="I299">
        <f>YEAR(tbl_dashboard_ejm[[#This Row],[Fecha]])</f>
        <v>2020</v>
      </c>
      <c r="J299" t="str">
        <f>TEXT(tbl_dashboard_ejm[[#This Row],[Fecha]],"MMMM")</f>
        <v>enero</v>
      </c>
      <c r="K299">
        <f>WEEKNUM(tbl_dashboard_ejm[[#This Row],[Fecha]],2)</f>
        <v>4</v>
      </c>
    </row>
    <row r="300" spans="2:11" x14ac:dyDescent="0.3">
      <c r="B300" s="67">
        <v>43855</v>
      </c>
      <c r="C300" t="s">
        <v>176</v>
      </c>
      <c r="D300" t="s">
        <v>161</v>
      </c>
      <c r="E300" t="s">
        <v>166</v>
      </c>
      <c r="F300" t="s">
        <v>169</v>
      </c>
      <c r="G300" s="82">
        <v>5419</v>
      </c>
      <c r="H300" s="82">
        <v>867.04</v>
      </c>
      <c r="I300">
        <f>YEAR(tbl_dashboard_ejm[[#This Row],[Fecha]])</f>
        <v>2020</v>
      </c>
      <c r="J300" t="str">
        <f>TEXT(tbl_dashboard_ejm[[#This Row],[Fecha]],"MMMM")</f>
        <v>enero</v>
      </c>
      <c r="K300">
        <f>WEEKNUM(tbl_dashboard_ejm[[#This Row],[Fecha]],2)</f>
        <v>4</v>
      </c>
    </row>
    <row r="301" spans="2:11" x14ac:dyDescent="0.3">
      <c r="B301" s="67">
        <v>43855</v>
      </c>
      <c r="C301" t="s">
        <v>177</v>
      </c>
      <c r="D301" t="s">
        <v>165</v>
      </c>
      <c r="E301" t="s">
        <v>166</v>
      </c>
      <c r="F301" t="s">
        <v>169</v>
      </c>
      <c r="G301" s="82">
        <v>8000</v>
      </c>
      <c r="H301" s="82">
        <v>1280</v>
      </c>
      <c r="I301">
        <f>YEAR(tbl_dashboard_ejm[[#This Row],[Fecha]])</f>
        <v>2020</v>
      </c>
      <c r="J301" t="str">
        <f>TEXT(tbl_dashboard_ejm[[#This Row],[Fecha]],"MMMM")</f>
        <v>enero</v>
      </c>
      <c r="K301">
        <f>WEEKNUM(tbl_dashboard_ejm[[#This Row],[Fecha]],2)</f>
        <v>4</v>
      </c>
    </row>
    <row r="302" spans="2:11" x14ac:dyDescent="0.3">
      <c r="B302" s="67">
        <v>43855</v>
      </c>
      <c r="C302" t="s">
        <v>178</v>
      </c>
      <c r="D302" t="s">
        <v>168</v>
      </c>
      <c r="E302" t="s">
        <v>166</v>
      </c>
      <c r="F302" t="s">
        <v>169</v>
      </c>
      <c r="G302" s="82">
        <v>8240</v>
      </c>
      <c r="H302" s="82">
        <v>1977.6</v>
      </c>
      <c r="I302">
        <f>YEAR(tbl_dashboard_ejm[[#This Row],[Fecha]])</f>
        <v>2020</v>
      </c>
      <c r="J302" t="str">
        <f>TEXT(tbl_dashboard_ejm[[#This Row],[Fecha]],"MMMM")</f>
        <v>enero</v>
      </c>
      <c r="K302">
        <f>WEEKNUM(tbl_dashboard_ejm[[#This Row],[Fecha]],2)</f>
        <v>4</v>
      </c>
    </row>
    <row r="303" spans="2:11" x14ac:dyDescent="0.3">
      <c r="B303" s="67">
        <v>43854</v>
      </c>
      <c r="C303" t="s">
        <v>179</v>
      </c>
      <c r="D303" t="s">
        <v>168</v>
      </c>
      <c r="E303" t="s">
        <v>166</v>
      </c>
      <c r="F303" t="s">
        <v>169</v>
      </c>
      <c r="G303" s="82">
        <v>6389</v>
      </c>
      <c r="H303" s="82">
        <v>2683.38</v>
      </c>
      <c r="I303">
        <f>YEAR(tbl_dashboard_ejm[[#This Row],[Fecha]])</f>
        <v>2020</v>
      </c>
      <c r="J303" t="str">
        <f>TEXT(tbl_dashboard_ejm[[#This Row],[Fecha]],"MMMM")</f>
        <v>enero</v>
      </c>
      <c r="K303">
        <f>WEEKNUM(tbl_dashboard_ejm[[#This Row],[Fecha]],2)</f>
        <v>4</v>
      </c>
    </row>
    <row r="304" spans="2:11" x14ac:dyDescent="0.3">
      <c r="B304" s="67">
        <v>43860</v>
      </c>
      <c r="C304" t="s">
        <v>180</v>
      </c>
      <c r="D304" t="s">
        <v>165</v>
      </c>
      <c r="E304" t="s">
        <v>162</v>
      </c>
      <c r="F304" t="s">
        <v>163</v>
      </c>
      <c r="G304" s="82">
        <v>10115</v>
      </c>
      <c r="H304" s="82">
        <v>4551.75</v>
      </c>
      <c r="I304">
        <f>YEAR(tbl_dashboard_ejm[[#This Row],[Fecha]])</f>
        <v>2020</v>
      </c>
      <c r="J304" t="str">
        <f>TEXT(tbl_dashboard_ejm[[#This Row],[Fecha]],"MMMM")</f>
        <v>enero</v>
      </c>
      <c r="K304">
        <f>WEEKNUM(tbl_dashboard_ejm[[#This Row],[Fecha]],2)</f>
        <v>5</v>
      </c>
    </row>
    <row r="305" spans="2:11" x14ac:dyDescent="0.3">
      <c r="B305" s="67">
        <v>43860</v>
      </c>
      <c r="C305" t="s">
        <v>181</v>
      </c>
      <c r="D305" t="s">
        <v>165</v>
      </c>
      <c r="E305" t="s">
        <v>162</v>
      </c>
      <c r="F305" t="s">
        <v>163</v>
      </c>
      <c r="G305" s="82">
        <v>8394</v>
      </c>
      <c r="H305" s="82">
        <v>1426.98</v>
      </c>
      <c r="I305">
        <f>YEAR(tbl_dashboard_ejm[[#This Row],[Fecha]])</f>
        <v>2020</v>
      </c>
      <c r="J305" t="str">
        <f>TEXT(tbl_dashboard_ejm[[#This Row],[Fecha]],"MMMM")</f>
        <v>enero</v>
      </c>
      <c r="K305">
        <f>WEEKNUM(tbl_dashboard_ejm[[#This Row],[Fecha]],2)</f>
        <v>5</v>
      </c>
    </row>
    <row r="306" spans="2:11" x14ac:dyDescent="0.3">
      <c r="B306" s="67">
        <v>43860</v>
      </c>
      <c r="C306" t="s">
        <v>182</v>
      </c>
      <c r="D306" t="s">
        <v>165</v>
      </c>
      <c r="E306" t="s">
        <v>166</v>
      </c>
      <c r="F306" t="s">
        <v>169</v>
      </c>
      <c r="G306" s="82">
        <v>8462</v>
      </c>
      <c r="H306" s="82">
        <v>1946.26</v>
      </c>
      <c r="I306">
        <f>YEAR(tbl_dashboard_ejm[[#This Row],[Fecha]])</f>
        <v>2020</v>
      </c>
      <c r="J306" t="str">
        <f>TEXT(tbl_dashboard_ejm[[#This Row],[Fecha]],"MMMM")</f>
        <v>enero</v>
      </c>
      <c r="K306">
        <f>WEEKNUM(tbl_dashboard_ejm[[#This Row],[Fecha]],2)</f>
        <v>5</v>
      </c>
    </row>
    <row r="307" spans="2:11" x14ac:dyDescent="0.3">
      <c r="B307" s="67">
        <v>43860</v>
      </c>
      <c r="C307" t="s">
        <v>183</v>
      </c>
      <c r="D307" t="s">
        <v>161</v>
      </c>
      <c r="E307" t="s">
        <v>162</v>
      </c>
      <c r="F307" t="s">
        <v>169</v>
      </c>
      <c r="G307" s="82">
        <v>10232</v>
      </c>
      <c r="H307" s="82">
        <v>1841.76</v>
      </c>
      <c r="I307">
        <f>YEAR(tbl_dashboard_ejm[[#This Row],[Fecha]])</f>
        <v>2020</v>
      </c>
      <c r="J307" t="str">
        <f>TEXT(tbl_dashboard_ejm[[#This Row],[Fecha]],"MMMM")</f>
        <v>enero</v>
      </c>
      <c r="K307">
        <f>WEEKNUM(tbl_dashboard_ejm[[#This Row],[Fecha]],2)</f>
        <v>5</v>
      </c>
    </row>
    <row r="308" spans="2:11" x14ac:dyDescent="0.3">
      <c r="B308" s="67">
        <v>43860</v>
      </c>
      <c r="C308" t="s">
        <v>184</v>
      </c>
      <c r="D308" t="s">
        <v>165</v>
      </c>
      <c r="E308" t="s">
        <v>166</v>
      </c>
      <c r="F308" t="s">
        <v>163</v>
      </c>
      <c r="G308" s="82">
        <v>8316</v>
      </c>
      <c r="H308" s="82">
        <v>2993.76</v>
      </c>
      <c r="I308">
        <f>YEAR(tbl_dashboard_ejm[[#This Row],[Fecha]])</f>
        <v>2020</v>
      </c>
      <c r="J308" t="str">
        <f>TEXT(tbl_dashboard_ejm[[#This Row],[Fecha]],"MMMM")</f>
        <v>enero</v>
      </c>
      <c r="K308">
        <f>WEEKNUM(tbl_dashboard_ejm[[#This Row],[Fecha]],2)</f>
        <v>5</v>
      </c>
    </row>
    <row r="309" spans="2:11" x14ac:dyDescent="0.3">
      <c r="B309" s="67">
        <v>43860</v>
      </c>
      <c r="C309" t="s">
        <v>185</v>
      </c>
      <c r="D309" t="s">
        <v>165</v>
      </c>
      <c r="E309" t="s">
        <v>162</v>
      </c>
      <c r="F309" t="s">
        <v>163</v>
      </c>
      <c r="G309" s="82">
        <v>5907</v>
      </c>
      <c r="H309" s="82">
        <v>1890.24</v>
      </c>
      <c r="I309">
        <f>YEAR(tbl_dashboard_ejm[[#This Row],[Fecha]])</f>
        <v>2020</v>
      </c>
      <c r="J309" t="str">
        <f>TEXT(tbl_dashboard_ejm[[#This Row],[Fecha]],"MMMM")</f>
        <v>enero</v>
      </c>
      <c r="K309">
        <f>WEEKNUM(tbl_dashboard_ejm[[#This Row],[Fecha]],2)</f>
        <v>5</v>
      </c>
    </row>
    <row r="310" spans="2:11" x14ac:dyDescent="0.3">
      <c r="B310" s="67">
        <v>43860</v>
      </c>
      <c r="C310" t="s">
        <v>186</v>
      </c>
      <c r="D310" t="s">
        <v>168</v>
      </c>
      <c r="E310" t="s">
        <v>162</v>
      </c>
      <c r="F310" t="s">
        <v>169</v>
      </c>
      <c r="G310" s="82">
        <v>2050</v>
      </c>
      <c r="H310" s="82">
        <v>512.5</v>
      </c>
      <c r="I310">
        <f>YEAR(tbl_dashboard_ejm[[#This Row],[Fecha]])</f>
        <v>2020</v>
      </c>
      <c r="J310" t="str">
        <f>TEXT(tbl_dashboard_ejm[[#This Row],[Fecha]],"MMMM")</f>
        <v>enero</v>
      </c>
      <c r="K310">
        <f>WEEKNUM(tbl_dashboard_ejm[[#This Row],[Fecha]],2)</f>
        <v>5</v>
      </c>
    </row>
    <row r="311" spans="2:11" x14ac:dyDescent="0.3">
      <c r="B311" s="67">
        <v>43856</v>
      </c>
      <c r="C311" t="s">
        <v>187</v>
      </c>
      <c r="D311" t="s">
        <v>165</v>
      </c>
      <c r="E311" t="s">
        <v>166</v>
      </c>
      <c r="F311" t="s">
        <v>163</v>
      </c>
      <c r="G311" s="82">
        <v>2597</v>
      </c>
      <c r="H311" s="82">
        <v>415.52</v>
      </c>
      <c r="I311">
        <f>YEAR(tbl_dashboard_ejm[[#This Row],[Fecha]])</f>
        <v>2020</v>
      </c>
      <c r="J311" t="str">
        <f>TEXT(tbl_dashboard_ejm[[#This Row],[Fecha]],"MMMM")</f>
        <v>enero</v>
      </c>
      <c r="K311">
        <f>WEEKNUM(tbl_dashboard_ejm[[#This Row],[Fecha]],2)</f>
        <v>4</v>
      </c>
    </row>
    <row r="312" spans="2:11" x14ac:dyDescent="0.3">
      <c r="B312" s="67">
        <v>43855</v>
      </c>
      <c r="C312" t="s">
        <v>188</v>
      </c>
      <c r="D312" t="s">
        <v>161</v>
      </c>
      <c r="E312" t="s">
        <v>162</v>
      </c>
      <c r="F312" t="s">
        <v>169</v>
      </c>
      <c r="G312" s="82">
        <v>1054</v>
      </c>
      <c r="H312" s="82">
        <v>231.88</v>
      </c>
      <c r="I312">
        <f>YEAR(tbl_dashboard_ejm[[#This Row],[Fecha]])</f>
        <v>2020</v>
      </c>
      <c r="J312" t="str">
        <f>TEXT(tbl_dashboard_ejm[[#This Row],[Fecha]],"MMMM")</f>
        <v>enero</v>
      </c>
      <c r="K312">
        <f>WEEKNUM(tbl_dashboard_ejm[[#This Row],[Fecha]],2)</f>
        <v>4</v>
      </c>
    </row>
    <row r="313" spans="2:11" x14ac:dyDescent="0.3">
      <c r="B313" s="67">
        <v>43855</v>
      </c>
      <c r="C313" t="s">
        <v>189</v>
      </c>
      <c r="D313" t="s">
        <v>161</v>
      </c>
      <c r="E313" t="s">
        <v>162</v>
      </c>
      <c r="F313" t="s">
        <v>169</v>
      </c>
      <c r="G313" s="82">
        <v>8805</v>
      </c>
      <c r="H313" s="82">
        <v>2729.55</v>
      </c>
      <c r="I313">
        <f>YEAR(tbl_dashboard_ejm[[#This Row],[Fecha]])</f>
        <v>2020</v>
      </c>
      <c r="J313" t="str">
        <f>TEXT(tbl_dashboard_ejm[[#This Row],[Fecha]],"MMMM")</f>
        <v>enero</v>
      </c>
      <c r="K313">
        <f>WEEKNUM(tbl_dashboard_ejm[[#This Row],[Fecha]],2)</f>
        <v>4</v>
      </c>
    </row>
    <row r="314" spans="2:11" x14ac:dyDescent="0.3">
      <c r="B314" s="67">
        <v>43855</v>
      </c>
      <c r="C314" t="s">
        <v>190</v>
      </c>
      <c r="D314" t="s">
        <v>161</v>
      </c>
      <c r="E314" t="s">
        <v>166</v>
      </c>
      <c r="F314" t="s">
        <v>169</v>
      </c>
      <c r="G314" s="82">
        <v>2430</v>
      </c>
      <c r="H314" s="82">
        <v>680.4</v>
      </c>
      <c r="I314">
        <f>YEAR(tbl_dashboard_ejm[[#This Row],[Fecha]])</f>
        <v>2020</v>
      </c>
      <c r="J314" t="str">
        <f>TEXT(tbl_dashboard_ejm[[#This Row],[Fecha]],"MMMM")</f>
        <v>enero</v>
      </c>
      <c r="K314">
        <f>WEEKNUM(tbl_dashboard_ejm[[#This Row],[Fecha]],2)</f>
        <v>4</v>
      </c>
    </row>
    <row r="315" spans="2:11" x14ac:dyDescent="0.3">
      <c r="B315" s="67">
        <v>43855</v>
      </c>
      <c r="C315" t="s">
        <v>191</v>
      </c>
      <c r="D315" t="s">
        <v>168</v>
      </c>
      <c r="E315" t="s">
        <v>162</v>
      </c>
      <c r="F315" t="s">
        <v>169</v>
      </c>
      <c r="G315" s="82">
        <v>11945</v>
      </c>
      <c r="H315" s="82">
        <v>2508.4499999999998</v>
      </c>
      <c r="I315">
        <f>YEAR(tbl_dashboard_ejm[[#This Row],[Fecha]])</f>
        <v>2020</v>
      </c>
      <c r="J315" t="str">
        <f>TEXT(tbl_dashboard_ejm[[#This Row],[Fecha]],"MMMM")</f>
        <v>enero</v>
      </c>
      <c r="K315">
        <f>WEEKNUM(tbl_dashboard_ejm[[#This Row],[Fecha]],2)</f>
        <v>4</v>
      </c>
    </row>
    <row r="316" spans="2:11" x14ac:dyDescent="0.3">
      <c r="B316" s="67">
        <v>43854</v>
      </c>
      <c r="C316" t="s">
        <v>192</v>
      </c>
      <c r="D316" t="s">
        <v>161</v>
      </c>
      <c r="E316" t="s">
        <v>162</v>
      </c>
      <c r="F316" t="s">
        <v>169</v>
      </c>
      <c r="G316" s="82">
        <v>1493</v>
      </c>
      <c r="H316" s="82">
        <v>253.81</v>
      </c>
      <c r="I316">
        <f>YEAR(tbl_dashboard_ejm[[#This Row],[Fecha]])</f>
        <v>2020</v>
      </c>
      <c r="J316" t="str">
        <f>TEXT(tbl_dashboard_ejm[[#This Row],[Fecha]],"MMMM")</f>
        <v>enero</v>
      </c>
      <c r="K316">
        <f>WEEKNUM(tbl_dashboard_ejm[[#This Row],[Fecha]],2)</f>
        <v>4</v>
      </c>
    </row>
    <row r="317" spans="2:11" x14ac:dyDescent="0.3">
      <c r="B317" s="67">
        <v>43861</v>
      </c>
      <c r="C317" t="s">
        <v>193</v>
      </c>
      <c r="D317" t="s">
        <v>161</v>
      </c>
      <c r="E317" t="s">
        <v>162</v>
      </c>
      <c r="F317" t="s">
        <v>163</v>
      </c>
      <c r="G317" s="82">
        <v>8392</v>
      </c>
      <c r="H317" s="82">
        <v>3692.48</v>
      </c>
      <c r="I317">
        <f>YEAR(tbl_dashboard_ejm[[#This Row],[Fecha]])</f>
        <v>2020</v>
      </c>
      <c r="J317" t="str">
        <f>TEXT(tbl_dashboard_ejm[[#This Row],[Fecha]],"MMMM")</f>
        <v>enero</v>
      </c>
      <c r="K317">
        <f>WEEKNUM(tbl_dashboard_ejm[[#This Row],[Fecha]],2)</f>
        <v>5</v>
      </c>
    </row>
    <row r="318" spans="2:11" x14ac:dyDescent="0.3">
      <c r="B318" s="67">
        <v>43861</v>
      </c>
      <c r="C318" t="s">
        <v>194</v>
      </c>
      <c r="D318" t="s">
        <v>161</v>
      </c>
      <c r="E318" t="s">
        <v>162</v>
      </c>
      <c r="F318" t="s">
        <v>163</v>
      </c>
      <c r="G318" s="82">
        <v>5891</v>
      </c>
      <c r="H318" s="82">
        <v>2120.7600000000002</v>
      </c>
      <c r="I318">
        <f>YEAR(tbl_dashboard_ejm[[#This Row],[Fecha]])</f>
        <v>2020</v>
      </c>
      <c r="J318" t="str">
        <f>TEXT(tbl_dashboard_ejm[[#This Row],[Fecha]],"MMMM")</f>
        <v>enero</v>
      </c>
      <c r="K318">
        <f>WEEKNUM(tbl_dashboard_ejm[[#This Row],[Fecha]],2)</f>
        <v>5</v>
      </c>
    </row>
    <row r="319" spans="2:11" x14ac:dyDescent="0.3">
      <c r="B319" s="67">
        <v>43861</v>
      </c>
      <c r="C319" t="s">
        <v>195</v>
      </c>
      <c r="D319" t="s">
        <v>161</v>
      </c>
      <c r="E319" t="s">
        <v>162</v>
      </c>
      <c r="F319" t="s">
        <v>169</v>
      </c>
      <c r="G319" s="82">
        <v>2381</v>
      </c>
      <c r="H319" s="82">
        <v>476.2</v>
      </c>
      <c r="I319">
        <f>YEAR(tbl_dashboard_ejm[[#This Row],[Fecha]])</f>
        <v>2020</v>
      </c>
      <c r="J319" t="str">
        <f>TEXT(tbl_dashboard_ejm[[#This Row],[Fecha]],"MMMM")</f>
        <v>enero</v>
      </c>
      <c r="K319">
        <f>WEEKNUM(tbl_dashboard_ejm[[#This Row],[Fecha]],2)</f>
        <v>5</v>
      </c>
    </row>
    <row r="320" spans="2:11" x14ac:dyDescent="0.3">
      <c r="B320" s="67">
        <v>43861</v>
      </c>
      <c r="C320" t="s">
        <v>196</v>
      </c>
      <c r="D320" t="s">
        <v>168</v>
      </c>
      <c r="E320" t="s">
        <v>162</v>
      </c>
      <c r="F320" t="s">
        <v>169</v>
      </c>
      <c r="G320" s="82">
        <v>1989</v>
      </c>
      <c r="H320" s="82">
        <v>616.59</v>
      </c>
      <c r="I320">
        <f>YEAR(tbl_dashboard_ejm[[#This Row],[Fecha]])</f>
        <v>2020</v>
      </c>
      <c r="J320" t="str">
        <f>TEXT(tbl_dashboard_ejm[[#This Row],[Fecha]],"MMMM")</f>
        <v>enero</v>
      </c>
      <c r="K320">
        <f>WEEKNUM(tbl_dashboard_ejm[[#This Row],[Fecha]],2)</f>
        <v>5</v>
      </c>
    </row>
    <row r="321" spans="2:11" x14ac:dyDescent="0.3">
      <c r="B321" s="67">
        <v>43861</v>
      </c>
      <c r="C321" t="s">
        <v>197</v>
      </c>
      <c r="D321" t="s">
        <v>168</v>
      </c>
      <c r="E321" t="s">
        <v>166</v>
      </c>
      <c r="F321" t="s">
        <v>163</v>
      </c>
      <c r="G321" s="82">
        <v>10160</v>
      </c>
      <c r="H321" s="82">
        <v>2540</v>
      </c>
      <c r="I321">
        <f>YEAR(tbl_dashboard_ejm[[#This Row],[Fecha]])</f>
        <v>2020</v>
      </c>
      <c r="J321" t="str">
        <f>TEXT(tbl_dashboard_ejm[[#This Row],[Fecha]],"MMMM")</f>
        <v>enero</v>
      </c>
      <c r="K321">
        <f>WEEKNUM(tbl_dashboard_ejm[[#This Row],[Fecha]],2)</f>
        <v>5</v>
      </c>
    </row>
    <row r="322" spans="2:11" x14ac:dyDescent="0.3">
      <c r="B322" s="67">
        <v>43861</v>
      </c>
      <c r="C322" t="s">
        <v>198</v>
      </c>
      <c r="D322" t="s">
        <v>168</v>
      </c>
      <c r="E322" t="s">
        <v>166</v>
      </c>
      <c r="F322" t="s">
        <v>163</v>
      </c>
      <c r="G322" s="82">
        <v>11431</v>
      </c>
      <c r="H322" s="82">
        <v>2400.5100000000002</v>
      </c>
      <c r="I322">
        <f>YEAR(tbl_dashboard_ejm[[#This Row],[Fecha]])</f>
        <v>2020</v>
      </c>
      <c r="J322" t="str">
        <f>TEXT(tbl_dashboard_ejm[[#This Row],[Fecha]],"MMMM")</f>
        <v>enero</v>
      </c>
      <c r="K322">
        <f>WEEKNUM(tbl_dashboard_ejm[[#This Row],[Fecha]],2)</f>
        <v>5</v>
      </c>
    </row>
    <row r="323" spans="2:11" x14ac:dyDescent="0.3">
      <c r="B323" s="67">
        <v>43860</v>
      </c>
      <c r="C323" t="s">
        <v>199</v>
      </c>
      <c r="D323" t="s">
        <v>165</v>
      </c>
      <c r="E323" t="s">
        <v>166</v>
      </c>
      <c r="F323" t="s">
        <v>169</v>
      </c>
      <c r="G323" s="82">
        <v>2879</v>
      </c>
      <c r="H323" s="82">
        <v>950.07</v>
      </c>
      <c r="I323">
        <f>YEAR(tbl_dashboard_ejm[[#This Row],[Fecha]])</f>
        <v>2020</v>
      </c>
      <c r="J323" t="str">
        <f>TEXT(tbl_dashboard_ejm[[#This Row],[Fecha]],"MMMM")</f>
        <v>enero</v>
      </c>
      <c r="K323">
        <f>WEEKNUM(tbl_dashboard_ejm[[#This Row],[Fecha]],2)</f>
        <v>5</v>
      </c>
    </row>
    <row r="324" spans="2:11" x14ac:dyDescent="0.3">
      <c r="B324" s="67">
        <v>43856</v>
      </c>
      <c r="C324" t="s">
        <v>200</v>
      </c>
      <c r="D324" t="s">
        <v>168</v>
      </c>
      <c r="E324" t="s">
        <v>162</v>
      </c>
      <c r="F324" t="s">
        <v>163</v>
      </c>
      <c r="G324" s="82">
        <v>7116</v>
      </c>
      <c r="H324" s="82">
        <v>1636.68</v>
      </c>
      <c r="I324">
        <f>YEAR(tbl_dashboard_ejm[[#This Row],[Fecha]])</f>
        <v>2020</v>
      </c>
      <c r="J324" t="str">
        <f>TEXT(tbl_dashboard_ejm[[#This Row],[Fecha]],"MMMM")</f>
        <v>enero</v>
      </c>
      <c r="K324">
        <f>WEEKNUM(tbl_dashboard_ejm[[#This Row],[Fecha]],2)</f>
        <v>4</v>
      </c>
    </row>
    <row r="325" spans="2:11" x14ac:dyDescent="0.3">
      <c r="B325" s="67">
        <v>43855</v>
      </c>
      <c r="C325" t="s">
        <v>201</v>
      </c>
      <c r="D325" t="s">
        <v>161</v>
      </c>
      <c r="E325" t="s">
        <v>162</v>
      </c>
      <c r="F325" t="s">
        <v>169</v>
      </c>
      <c r="G325" s="82">
        <v>7499</v>
      </c>
      <c r="H325" s="82">
        <v>1874.75</v>
      </c>
      <c r="I325">
        <f>YEAR(tbl_dashboard_ejm[[#This Row],[Fecha]])</f>
        <v>2020</v>
      </c>
      <c r="J325" t="str">
        <f>TEXT(tbl_dashboard_ejm[[#This Row],[Fecha]],"MMMM")</f>
        <v>enero</v>
      </c>
      <c r="K325">
        <f>WEEKNUM(tbl_dashboard_ejm[[#This Row],[Fecha]],2)</f>
        <v>4</v>
      </c>
    </row>
    <row r="326" spans="2:11" x14ac:dyDescent="0.3">
      <c r="B326" s="67">
        <v>43855</v>
      </c>
      <c r="C326" t="s">
        <v>202</v>
      </c>
      <c r="D326" t="s">
        <v>168</v>
      </c>
      <c r="E326" t="s">
        <v>162</v>
      </c>
      <c r="F326" t="s">
        <v>169</v>
      </c>
      <c r="G326" s="82">
        <v>3043</v>
      </c>
      <c r="H326" s="82">
        <v>1217.2</v>
      </c>
      <c r="I326">
        <f>YEAR(tbl_dashboard_ejm[[#This Row],[Fecha]])</f>
        <v>2020</v>
      </c>
      <c r="J326" t="str">
        <f>TEXT(tbl_dashboard_ejm[[#This Row],[Fecha]],"MMMM")</f>
        <v>enero</v>
      </c>
      <c r="K326">
        <f>WEEKNUM(tbl_dashboard_ejm[[#This Row],[Fecha]],2)</f>
        <v>4</v>
      </c>
    </row>
    <row r="327" spans="2:11" x14ac:dyDescent="0.3">
      <c r="B327" s="67">
        <v>43855</v>
      </c>
      <c r="C327" t="s">
        <v>203</v>
      </c>
      <c r="D327" t="s">
        <v>161</v>
      </c>
      <c r="E327" t="s">
        <v>166</v>
      </c>
      <c r="F327" t="s">
        <v>169</v>
      </c>
      <c r="G327" s="82">
        <v>6723</v>
      </c>
      <c r="H327" s="82">
        <v>2084.13</v>
      </c>
      <c r="I327">
        <f>YEAR(tbl_dashboard_ejm[[#This Row],[Fecha]])</f>
        <v>2020</v>
      </c>
      <c r="J327" t="str">
        <f>TEXT(tbl_dashboard_ejm[[#This Row],[Fecha]],"MMMM")</f>
        <v>enero</v>
      </c>
      <c r="K327">
        <f>WEEKNUM(tbl_dashboard_ejm[[#This Row],[Fecha]],2)</f>
        <v>4</v>
      </c>
    </row>
    <row r="328" spans="2:11" x14ac:dyDescent="0.3">
      <c r="B328" s="67">
        <v>43855</v>
      </c>
      <c r="C328" t="s">
        <v>204</v>
      </c>
      <c r="D328" t="s">
        <v>161</v>
      </c>
      <c r="E328" t="s">
        <v>166</v>
      </c>
      <c r="F328" t="s">
        <v>169</v>
      </c>
      <c r="G328" s="82">
        <v>5137</v>
      </c>
      <c r="H328" s="82">
        <v>2311.65</v>
      </c>
      <c r="I328">
        <f>YEAR(tbl_dashboard_ejm[[#This Row],[Fecha]])</f>
        <v>2020</v>
      </c>
      <c r="J328" t="str">
        <f>TEXT(tbl_dashboard_ejm[[#This Row],[Fecha]],"MMMM")</f>
        <v>enero</v>
      </c>
      <c r="K328">
        <f>WEEKNUM(tbl_dashboard_ejm[[#This Row],[Fecha]],2)</f>
        <v>4</v>
      </c>
    </row>
    <row r="329" spans="2:11" x14ac:dyDescent="0.3">
      <c r="B329" s="67">
        <v>43854</v>
      </c>
      <c r="C329" t="s">
        <v>205</v>
      </c>
      <c r="D329" t="s">
        <v>168</v>
      </c>
      <c r="E329" t="s">
        <v>166</v>
      </c>
      <c r="F329" t="s">
        <v>169</v>
      </c>
      <c r="G329" s="82">
        <v>9293</v>
      </c>
      <c r="H329" s="82">
        <v>2416.1799999999998</v>
      </c>
      <c r="I329">
        <f>YEAR(tbl_dashboard_ejm[[#This Row],[Fecha]])</f>
        <v>2020</v>
      </c>
      <c r="J329" t="str">
        <f>TEXT(tbl_dashboard_ejm[[#This Row],[Fecha]],"MMMM")</f>
        <v>enero</v>
      </c>
      <c r="K329">
        <f>WEEKNUM(tbl_dashboard_ejm[[#This Row],[Fecha]],2)</f>
        <v>4</v>
      </c>
    </row>
    <row r="330" spans="2:11" x14ac:dyDescent="0.3">
      <c r="B330" s="67">
        <v>43860</v>
      </c>
      <c r="C330" t="s">
        <v>206</v>
      </c>
      <c r="D330" t="s">
        <v>161</v>
      </c>
      <c r="E330" t="s">
        <v>166</v>
      </c>
      <c r="F330" t="s">
        <v>163</v>
      </c>
      <c r="G330" s="82">
        <v>3028</v>
      </c>
      <c r="H330" s="82">
        <v>1362.6</v>
      </c>
      <c r="I330">
        <f>YEAR(tbl_dashboard_ejm[[#This Row],[Fecha]])</f>
        <v>2020</v>
      </c>
      <c r="J330" t="str">
        <f>TEXT(tbl_dashboard_ejm[[#This Row],[Fecha]],"MMMM")</f>
        <v>enero</v>
      </c>
      <c r="K330">
        <f>WEEKNUM(tbl_dashboard_ejm[[#This Row],[Fecha]],2)</f>
        <v>5</v>
      </c>
    </row>
    <row r="331" spans="2:11" x14ac:dyDescent="0.3">
      <c r="B331" s="67">
        <v>43860</v>
      </c>
      <c r="C331" t="s">
        <v>207</v>
      </c>
      <c r="D331" t="s">
        <v>168</v>
      </c>
      <c r="E331" t="s">
        <v>166</v>
      </c>
      <c r="F331" t="s">
        <v>163</v>
      </c>
      <c r="G331" s="82">
        <v>6589</v>
      </c>
      <c r="H331" s="82">
        <v>2635.6</v>
      </c>
      <c r="I331">
        <f>YEAR(tbl_dashboard_ejm[[#This Row],[Fecha]])</f>
        <v>2020</v>
      </c>
      <c r="J331" t="str">
        <f>TEXT(tbl_dashboard_ejm[[#This Row],[Fecha]],"MMMM")</f>
        <v>enero</v>
      </c>
      <c r="K331">
        <f>WEEKNUM(tbl_dashboard_ejm[[#This Row],[Fecha]],2)</f>
        <v>5</v>
      </c>
    </row>
    <row r="332" spans="2:11" x14ac:dyDescent="0.3">
      <c r="B332" s="67">
        <v>43860</v>
      </c>
      <c r="C332" t="s">
        <v>208</v>
      </c>
      <c r="D332" t="s">
        <v>168</v>
      </c>
      <c r="E332" t="s">
        <v>166</v>
      </c>
      <c r="F332" t="s">
        <v>169</v>
      </c>
      <c r="G332" s="82">
        <v>6863</v>
      </c>
      <c r="H332" s="82">
        <v>1441.23</v>
      </c>
      <c r="I332">
        <f>YEAR(tbl_dashboard_ejm[[#This Row],[Fecha]])</f>
        <v>2020</v>
      </c>
      <c r="J332" t="str">
        <f>TEXT(tbl_dashboard_ejm[[#This Row],[Fecha]],"MMMM")</f>
        <v>enero</v>
      </c>
      <c r="K332">
        <f>WEEKNUM(tbl_dashboard_ejm[[#This Row],[Fecha]],2)</f>
        <v>5</v>
      </c>
    </row>
    <row r="333" spans="2:11" x14ac:dyDescent="0.3">
      <c r="B333" s="67">
        <v>43860</v>
      </c>
      <c r="C333" t="s">
        <v>209</v>
      </c>
      <c r="D333" t="s">
        <v>168</v>
      </c>
      <c r="E333" t="s">
        <v>162</v>
      </c>
      <c r="F333" t="s">
        <v>169</v>
      </c>
      <c r="G333" s="82">
        <v>1779</v>
      </c>
      <c r="H333" s="82">
        <v>498.12</v>
      </c>
      <c r="I333">
        <f>YEAR(tbl_dashboard_ejm[[#This Row],[Fecha]])</f>
        <v>2020</v>
      </c>
      <c r="J333" t="str">
        <f>TEXT(tbl_dashboard_ejm[[#This Row],[Fecha]],"MMMM")</f>
        <v>enero</v>
      </c>
      <c r="K333">
        <f>WEEKNUM(tbl_dashboard_ejm[[#This Row],[Fecha]],2)</f>
        <v>5</v>
      </c>
    </row>
    <row r="334" spans="2:11" x14ac:dyDescent="0.3">
      <c r="B334" s="67">
        <v>43860</v>
      </c>
      <c r="C334" t="s">
        <v>210</v>
      </c>
      <c r="D334" t="s">
        <v>168</v>
      </c>
      <c r="E334" t="s">
        <v>166</v>
      </c>
      <c r="F334" t="s">
        <v>163</v>
      </c>
      <c r="G334" s="82">
        <v>10133</v>
      </c>
      <c r="H334" s="82">
        <v>2938.57</v>
      </c>
      <c r="I334">
        <f>YEAR(tbl_dashboard_ejm[[#This Row],[Fecha]])</f>
        <v>2020</v>
      </c>
      <c r="J334" t="str">
        <f>TEXT(tbl_dashboard_ejm[[#This Row],[Fecha]],"MMMM")</f>
        <v>enero</v>
      </c>
      <c r="K334">
        <f>WEEKNUM(tbl_dashboard_ejm[[#This Row],[Fecha]],2)</f>
        <v>5</v>
      </c>
    </row>
    <row r="335" spans="2:11" x14ac:dyDescent="0.3">
      <c r="B335" s="67">
        <v>43860</v>
      </c>
      <c r="C335" t="s">
        <v>211</v>
      </c>
      <c r="D335" t="s">
        <v>165</v>
      </c>
      <c r="E335" t="s">
        <v>166</v>
      </c>
      <c r="F335" t="s">
        <v>163</v>
      </c>
      <c r="G335" s="82">
        <v>11454</v>
      </c>
      <c r="H335" s="82">
        <v>4352.5200000000004</v>
      </c>
      <c r="I335">
        <f>YEAR(tbl_dashboard_ejm[[#This Row],[Fecha]])</f>
        <v>2020</v>
      </c>
      <c r="J335" t="str">
        <f>TEXT(tbl_dashboard_ejm[[#This Row],[Fecha]],"MMMM")</f>
        <v>enero</v>
      </c>
      <c r="K335">
        <f>WEEKNUM(tbl_dashboard_ejm[[#This Row],[Fecha]],2)</f>
        <v>5</v>
      </c>
    </row>
    <row r="336" spans="2:11" x14ac:dyDescent="0.3">
      <c r="B336" s="67">
        <v>43860</v>
      </c>
      <c r="C336" t="s">
        <v>212</v>
      </c>
      <c r="D336" t="s">
        <v>168</v>
      </c>
      <c r="E336" t="s">
        <v>166</v>
      </c>
      <c r="F336" t="s">
        <v>169</v>
      </c>
      <c r="G336" s="82">
        <v>1108</v>
      </c>
      <c r="H336" s="82">
        <v>498.6</v>
      </c>
      <c r="I336">
        <f>YEAR(tbl_dashboard_ejm[[#This Row],[Fecha]])</f>
        <v>2020</v>
      </c>
      <c r="J336" t="str">
        <f>TEXT(tbl_dashboard_ejm[[#This Row],[Fecha]],"MMMM")</f>
        <v>enero</v>
      </c>
      <c r="K336">
        <f>WEEKNUM(tbl_dashboard_ejm[[#This Row],[Fecha]],2)</f>
        <v>5</v>
      </c>
    </row>
    <row r="337" spans="2:11" x14ac:dyDescent="0.3">
      <c r="B337" s="67">
        <v>43856</v>
      </c>
      <c r="C337" t="s">
        <v>213</v>
      </c>
      <c r="D337" t="s">
        <v>161</v>
      </c>
      <c r="E337" t="s">
        <v>162</v>
      </c>
      <c r="F337" t="s">
        <v>163</v>
      </c>
      <c r="G337" s="82">
        <v>10559</v>
      </c>
      <c r="H337" s="82">
        <v>3062.11</v>
      </c>
      <c r="I337">
        <f>YEAR(tbl_dashboard_ejm[[#This Row],[Fecha]])</f>
        <v>2020</v>
      </c>
      <c r="J337" t="str">
        <f>TEXT(tbl_dashboard_ejm[[#This Row],[Fecha]],"MMMM")</f>
        <v>enero</v>
      </c>
      <c r="K337">
        <f>WEEKNUM(tbl_dashboard_ejm[[#This Row],[Fecha]],2)</f>
        <v>4</v>
      </c>
    </row>
    <row r="338" spans="2:11" x14ac:dyDescent="0.3">
      <c r="B338" s="67">
        <v>43855</v>
      </c>
      <c r="C338" t="s">
        <v>214</v>
      </c>
      <c r="D338" t="s">
        <v>165</v>
      </c>
      <c r="E338" t="s">
        <v>166</v>
      </c>
      <c r="F338" t="s">
        <v>169</v>
      </c>
      <c r="G338" s="82">
        <v>9829</v>
      </c>
      <c r="H338" s="82">
        <v>4226.47</v>
      </c>
      <c r="I338">
        <f>YEAR(tbl_dashboard_ejm[[#This Row],[Fecha]])</f>
        <v>2020</v>
      </c>
      <c r="J338" t="str">
        <f>TEXT(tbl_dashboard_ejm[[#This Row],[Fecha]],"MMMM")</f>
        <v>enero</v>
      </c>
      <c r="K338">
        <f>WEEKNUM(tbl_dashboard_ejm[[#This Row],[Fecha]],2)</f>
        <v>4</v>
      </c>
    </row>
    <row r="339" spans="2:11" x14ac:dyDescent="0.3">
      <c r="B339" s="67">
        <v>43855</v>
      </c>
      <c r="C339" t="s">
        <v>215</v>
      </c>
      <c r="D339" t="s">
        <v>168</v>
      </c>
      <c r="E339" t="s">
        <v>162</v>
      </c>
      <c r="F339" t="s">
        <v>169</v>
      </c>
      <c r="G339" s="82">
        <v>1221</v>
      </c>
      <c r="H339" s="82">
        <v>329.67</v>
      </c>
      <c r="I339">
        <f>YEAR(tbl_dashboard_ejm[[#This Row],[Fecha]])</f>
        <v>2020</v>
      </c>
      <c r="J339" t="str">
        <f>TEXT(tbl_dashboard_ejm[[#This Row],[Fecha]],"MMMM")</f>
        <v>enero</v>
      </c>
      <c r="K339">
        <f>WEEKNUM(tbl_dashboard_ejm[[#This Row],[Fecha]],2)</f>
        <v>4</v>
      </c>
    </row>
    <row r="340" spans="2:11" x14ac:dyDescent="0.3">
      <c r="B340" s="67">
        <v>43855</v>
      </c>
      <c r="C340" t="s">
        <v>216</v>
      </c>
      <c r="D340" t="s">
        <v>165</v>
      </c>
      <c r="E340" t="s">
        <v>162</v>
      </c>
      <c r="F340" t="s">
        <v>169</v>
      </c>
      <c r="G340" s="82">
        <v>5577</v>
      </c>
      <c r="H340" s="82">
        <v>836.55</v>
      </c>
      <c r="I340">
        <f>YEAR(tbl_dashboard_ejm[[#This Row],[Fecha]])</f>
        <v>2020</v>
      </c>
      <c r="J340" t="str">
        <f>TEXT(tbl_dashboard_ejm[[#This Row],[Fecha]],"MMMM")</f>
        <v>enero</v>
      </c>
      <c r="K340">
        <f>WEEKNUM(tbl_dashboard_ejm[[#This Row],[Fecha]],2)</f>
        <v>4</v>
      </c>
    </row>
    <row r="341" spans="2:11" x14ac:dyDescent="0.3">
      <c r="B341" s="67">
        <v>43855</v>
      </c>
      <c r="C341" t="s">
        <v>217</v>
      </c>
      <c r="D341" t="s">
        <v>165</v>
      </c>
      <c r="E341" t="s">
        <v>162</v>
      </c>
      <c r="F341" t="s">
        <v>169</v>
      </c>
      <c r="G341" s="82">
        <v>8886</v>
      </c>
      <c r="H341" s="82">
        <v>3820.98</v>
      </c>
      <c r="I341">
        <f>YEAR(tbl_dashboard_ejm[[#This Row],[Fecha]])</f>
        <v>2020</v>
      </c>
      <c r="J341" t="str">
        <f>TEXT(tbl_dashboard_ejm[[#This Row],[Fecha]],"MMMM")</f>
        <v>enero</v>
      </c>
      <c r="K341">
        <f>WEEKNUM(tbl_dashboard_ejm[[#This Row],[Fecha]],2)</f>
        <v>4</v>
      </c>
    </row>
    <row r="342" spans="2:11" x14ac:dyDescent="0.3">
      <c r="B342" s="67">
        <v>43885</v>
      </c>
      <c r="C342" t="s">
        <v>160</v>
      </c>
      <c r="D342" t="s">
        <v>165</v>
      </c>
      <c r="E342" t="s">
        <v>166</v>
      </c>
      <c r="F342" t="s">
        <v>169</v>
      </c>
      <c r="G342" s="82">
        <v>7279</v>
      </c>
      <c r="H342" s="82">
        <v>1819.75</v>
      </c>
      <c r="I342">
        <f>YEAR(tbl_dashboard_ejm[[#This Row],[Fecha]])</f>
        <v>2020</v>
      </c>
      <c r="J342" t="str">
        <f>TEXT(tbl_dashboard_ejm[[#This Row],[Fecha]],"MMMM")</f>
        <v>febrero</v>
      </c>
      <c r="K342">
        <f>WEEKNUM(tbl_dashboard_ejm[[#This Row],[Fecha]],2)</f>
        <v>9</v>
      </c>
    </row>
    <row r="343" spans="2:11" x14ac:dyDescent="0.3">
      <c r="B343" s="67">
        <v>43885</v>
      </c>
      <c r="C343" t="s">
        <v>164</v>
      </c>
      <c r="D343" t="s">
        <v>161</v>
      </c>
      <c r="E343" t="s">
        <v>166</v>
      </c>
      <c r="F343" t="s">
        <v>163</v>
      </c>
      <c r="G343" s="82">
        <v>5557</v>
      </c>
      <c r="H343" s="82">
        <v>1500.39</v>
      </c>
      <c r="I343">
        <f>YEAR(tbl_dashboard_ejm[[#This Row],[Fecha]])</f>
        <v>2020</v>
      </c>
      <c r="J343" t="str">
        <f>TEXT(tbl_dashboard_ejm[[#This Row],[Fecha]],"MMMM")</f>
        <v>febrero</v>
      </c>
      <c r="K343">
        <f>WEEKNUM(tbl_dashboard_ejm[[#This Row],[Fecha]],2)</f>
        <v>9</v>
      </c>
    </row>
    <row r="344" spans="2:11" x14ac:dyDescent="0.3">
      <c r="B344" s="67">
        <v>43885</v>
      </c>
      <c r="C344" t="s">
        <v>167</v>
      </c>
      <c r="D344" t="s">
        <v>165</v>
      </c>
      <c r="E344" t="s">
        <v>162</v>
      </c>
      <c r="F344" t="s">
        <v>163</v>
      </c>
      <c r="G344" s="82">
        <v>8830</v>
      </c>
      <c r="H344" s="82">
        <v>1324.5</v>
      </c>
      <c r="I344">
        <f>YEAR(tbl_dashboard_ejm[[#This Row],[Fecha]])</f>
        <v>2020</v>
      </c>
      <c r="J344" t="str">
        <f>TEXT(tbl_dashboard_ejm[[#This Row],[Fecha]],"MMMM")</f>
        <v>febrero</v>
      </c>
      <c r="K344">
        <f>WEEKNUM(tbl_dashboard_ejm[[#This Row],[Fecha]],2)</f>
        <v>9</v>
      </c>
    </row>
    <row r="345" spans="2:11" x14ac:dyDescent="0.3">
      <c r="B345" s="67">
        <v>43885</v>
      </c>
      <c r="C345" t="s">
        <v>170</v>
      </c>
      <c r="D345" t="s">
        <v>168</v>
      </c>
      <c r="E345" t="s">
        <v>166</v>
      </c>
      <c r="F345" t="s">
        <v>169</v>
      </c>
      <c r="G345" s="82">
        <v>7287</v>
      </c>
      <c r="H345" s="82">
        <v>2258.9699999999998</v>
      </c>
      <c r="I345">
        <f>YEAR(tbl_dashboard_ejm[[#This Row],[Fecha]])</f>
        <v>2020</v>
      </c>
      <c r="J345" t="str">
        <f>TEXT(tbl_dashboard_ejm[[#This Row],[Fecha]],"MMMM")</f>
        <v>febrero</v>
      </c>
      <c r="K345">
        <f>WEEKNUM(tbl_dashboard_ejm[[#This Row],[Fecha]],2)</f>
        <v>9</v>
      </c>
    </row>
    <row r="346" spans="2:11" x14ac:dyDescent="0.3">
      <c r="B346" s="67">
        <v>43885</v>
      </c>
      <c r="C346" t="s">
        <v>171</v>
      </c>
      <c r="D346" t="s">
        <v>161</v>
      </c>
      <c r="E346" t="s">
        <v>166</v>
      </c>
      <c r="F346" t="s">
        <v>169</v>
      </c>
      <c r="G346" s="82">
        <v>10491</v>
      </c>
      <c r="H346" s="82">
        <v>4301.3100000000004</v>
      </c>
      <c r="I346">
        <f>YEAR(tbl_dashboard_ejm[[#This Row],[Fecha]])</f>
        <v>2020</v>
      </c>
      <c r="J346" t="str">
        <f>TEXT(tbl_dashboard_ejm[[#This Row],[Fecha]],"MMMM")</f>
        <v>febrero</v>
      </c>
      <c r="K346">
        <f>WEEKNUM(tbl_dashboard_ejm[[#This Row],[Fecha]],2)</f>
        <v>9</v>
      </c>
    </row>
    <row r="347" spans="2:11" x14ac:dyDescent="0.3">
      <c r="B347" s="67">
        <v>43885</v>
      </c>
      <c r="C347" t="s">
        <v>172</v>
      </c>
      <c r="D347" t="s">
        <v>165</v>
      </c>
      <c r="E347" t="s">
        <v>166</v>
      </c>
      <c r="F347" t="s">
        <v>163</v>
      </c>
      <c r="G347" s="82">
        <v>3946</v>
      </c>
      <c r="H347" s="82">
        <v>1538.94</v>
      </c>
      <c r="I347">
        <f>YEAR(tbl_dashboard_ejm[[#This Row],[Fecha]])</f>
        <v>2020</v>
      </c>
      <c r="J347" t="str">
        <f>TEXT(tbl_dashboard_ejm[[#This Row],[Fecha]],"MMMM")</f>
        <v>febrero</v>
      </c>
      <c r="K347">
        <f>WEEKNUM(tbl_dashboard_ejm[[#This Row],[Fecha]],2)</f>
        <v>9</v>
      </c>
    </row>
    <row r="348" spans="2:11" x14ac:dyDescent="0.3">
      <c r="B348" s="67">
        <v>43885</v>
      </c>
      <c r="C348" t="s">
        <v>173</v>
      </c>
      <c r="D348" t="s">
        <v>168</v>
      </c>
      <c r="E348" t="s">
        <v>162</v>
      </c>
      <c r="F348" t="s">
        <v>163</v>
      </c>
      <c r="G348" s="82">
        <v>6429</v>
      </c>
      <c r="H348" s="82">
        <v>1478.67</v>
      </c>
      <c r="I348">
        <f>YEAR(tbl_dashboard_ejm[[#This Row],[Fecha]])</f>
        <v>2020</v>
      </c>
      <c r="J348" t="str">
        <f>TEXT(tbl_dashboard_ejm[[#This Row],[Fecha]],"MMMM")</f>
        <v>febrero</v>
      </c>
      <c r="K348">
        <f>WEEKNUM(tbl_dashboard_ejm[[#This Row],[Fecha]],2)</f>
        <v>9</v>
      </c>
    </row>
    <row r="349" spans="2:11" x14ac:dyDescent="0.3">
      <c r="B349" s="67">
        <v>43885</v>
      </c>
      <c r="C349" t="s">
        <v>174</v>
      </c>
      <c r="D349" t="s">
        <v>168</v>
      </c>
      <c r="E349" t="s">
        <v>162</v>
      </c>
      <c r="F349" t="s">
        <v>169</v>
      </c>
      <c r="G349" s="82">
        <v>2142</v>
      </c>
      <c r="H349" s="82">
        <v>385.56</v>
      </c>
      <c r="I349">
        <f>YEAR(tbl_dashboard_ejm[[#This Row],[Fecha]])</f>
        <v>2020</v>
      </c>
      <c r="J349" t="str">
        <f>TEXT(tbl_dashboard_ejm[[#This Row],[Fecha]],"MMMM")</f>
        <v>febrero</v>
      </c>
      <c r="K349">
        <f>WEEKNUM(tbl_dashboard_ejm[[#This Row],[Fecha]],2)</f>
        <v>9</v>
      </c>
    </row>
    <row r="350" spans="2:11" x14ac:dyDescent="0.3">
      <c r="B350" s="67">
        <v>43885</v>
      </c>
      <c r="C350" t="s">
        <v>175</v>
      </c>
      <c r="D350" t="s">
        <v>165</v>
      </c>
      <c r="E350" t="s">
        <v>166</v>
      </c>
      <c r="F350" t="s">
        <v>163</v>
      </c>
      <c r="G350" s="82">
        <v>10611</v>
      </c>
      <c r="H350" s="82">
        <v>1909.98</v>
      </c>
      <c r="I350">
        <f>YEAR(tbl_dashboard_ejm[[#This Row],[Fecha]])</f>
        <v>2020</v>
      </c>
      <c r="J350" t="str">
        <f>TEXT(tbl_dashboard_ejm[[#This Row],[Fecha]],"MMMM")</f>
        <v>febrero</v>
      </c>
      <c r="K350">
        <f>WEEKNUM(tbl_dashboard_ejm[[#This Row],[Fecha]],2)</f>
        <v>9</v>
      </c>
    </row>
    <row r="351" spans="2:11" x14ac:dyDescent="0.3">
      <c r="B351" s="67">
        <v>43885</v>
      </c>
      <c r="C351" t="s">
        <v>176</v>
      </c>
      <c r="D351" t="s">
        <v>165</v>
      </c>
      <c r="E351" t="s">
        <v>166</v>
      </c>
      <c r="F351" t="s">
        <v>169</v>
      </c>
      <c r="G351" s="82">
        <v>7137</v>
      </c>
      <c r="H351" s="82">
        <v>2426.58</v>
      </c>
      <c r="I351">
        <f>YEAR(tbl_dashboard_ejm[[#This Row],[Fecha]])</f>
        <v>2020</v>
      </c>
      <c r="J351" t="str">
        <f>TEXT(tbl_dashboard_ejm[[#This Row],[Fecha]],"MMMM")</f>
        <v>febrero</v>
      </c>
      <c r="K351">
        <f>WEEKNUM(tbl_dashboard_ejm[[#This Row],[Fecha]],2)</f>
        <v>9</v>
      </c>
    </row>
    <row r="352" spans="2:11" x14ac:dyDescent="0.3">
      <c r="B352" s="67">
        <v>43885</v>
      </c>
      <c r="C352" t="s">
        <v>177</v>
      </c>
      <c r="D352" t="s">
        <v>165</v>
      </c>
      <c r="E352" t="s">
        <v>162</v>
      </c>
      <c r="F352" t="s">
        <v>169</v>
      </c>
      <c r="G352" s="82">
        <v>5961</v>
      </c>
      <c r="H352" s="82">
        <v>1132.5899999999999</v>
      </c>
      <c r="I352">
        <f>YEAR(tbl_dashboard_ejm[[#This Row],[Fecha]])</f>
        <v>2020</v>
      </c>
      <c r="J352" t="str">
        <f>TEXT(tbl_dashboard_ejm[[#This Row],[Fecha]],"MMMM")</f>
        <v>febrero</v>
      </c>
      <c r="K352">
        <f>WEEKNUM(tbl_dashboard_ejm[[#This Row],[Fecha]],2)</f>
        <v>9</v>
      </c>
    </row>
    <row r="353" spans="2:11" x14ac:dyDescent="0.3">
      <c r="B353" s="67">
        <v>43885</v>
      </c>
      <c r="C353" t="s">
        <v>178</v>
      </c>
      <c r="D353" t="s">
        <v>161</v>
      </c>
      <c r="E353" t="s">
        <v>162</v>
      </c>
      <c r="F353" t="s">
        <v>169</v>
      </c>
      <c r="G353" s="82">
        <v>2247</v>
      </c>
      <c r="H353" s="82">
        <v>606.69000000000005</v>
      </c>
      <c r="I353">
        <f>YEAR(tbl_dashboard_ejm[[#This Row],[Fecha]])</f>
        <v>2020</v>
      </c>
      <c r="J353" t="str">
        <f>TEXT(tbl_dashboard_ejm[[#This Row],[Fecha]],"MMMM")</f>
        <v>febrero</v>
      </c>
      <c r="K353">
        <f>WEEKNUM(tbl_dashboard_ejm[[#This Row],[Fecha]],2)</f>
        <v>9</v>
      </c>
    </row>
    <row r="354" spans="2:11" x14ac:dyDescent="0.3">
      <c r="B354" s="67">
        <v>43885</v>
      </c>
      <c r="C354" t="s">
        <v>179</v>
      </c>
      <c r="D354" t="s">
        <v>165</v>
      </c>
      <c r="E354" t="s">
        <v>162</v>
      </c>
      <c r="F354" t="s">
        <v>169</v>
      </c>
      <c r="G354" s="82">
        <v>2391</v>
      </c>
      <c r="H354" s="82">
        <v>645.57000000000005</v>
      </c>
      <c r="I354">
        <f>YEAR(tbl_dashboard_ejm[[#This Row],[Fecha]])</f>
        <v>2020</v>
      </c>
      <c r="J354" t="str">
        <f>TEXT(tbl_dashboard_ejm[[#This Row],[Fecha]],"MMMM")</f>
        <v>febrero</v>
      </c>
      <c r="K354">
        <f>WEEKNUM(tbl_dashboard_ejm[[#This Row],[Fecha]],2)</f>
        <v>9</v>
      </c>
    </row>
    <row r="355" spans="2:11" x14ac:dyDescent="0.3">
      <c r="B355" s="67">
        <v>43885</v>
      </c>
      <c r="C355" t="s">
        <v>180</v>
      </c>
      <c r="D355" t="s">
        <v>165</v>
      </c>
      <c r="E355" t="s">
        <v>162</v>
      </c>
      <c r="F355" t="s">
        <v>169</v>
      </c>
      <c r="G355" s="82">
        <v>11406</v>
      </c>
      <c r="H355" s="82">
        <v>2509.3200000000002</v>
      </c>
      <c r="I355">
        <f>YEAR(tbl_dashboard_ejm[[#This Row],[Fecha]])</f>
        <v>2020</v>
      </c>
      <c r="J355" t="str">
        <f>TEXT(tbl_dashboard_ejm[[#This Row],[Fecha]],"MMMM")</f>
        <v>febrero</v>
      </c>
      <c r="K355">
        <f>WEEKNUM(tbl_dashboard_ejm[[#This Row],[Fecha]],2)</f>
        <v>9</v>
      </c>
    </row>
    <row r="356" spans="2:11" x14ac:dyDescent="0.3">
      <c r="B356" s="67">
        <v>43885</v>
      </c>
      <c r="C356" t="s">
        <v>181</v>
      </c>
      <c r="D356" t="s">
        <v>168</v>
      </c>
      <c r="E356" t="s">
        <v>162</v>
      </c>
      <c r="F356" t="s">
        <v>163</v>
      </c>
      <c r="G356" s="82">
        <v>3200</v>
      </c>
      <c r="H356" s="82">
        <v>1120</v>
      </c>
      <c r="I356">
        <f>YEAR(tbl_dashboard_ejm[[#This Row],[Fecha]])</f>
        <v>2020</v>
      </c>
      <c r="J356" t="str">
        <f>TEXT(tbl_dashboard_ejm[[#This Row],[Fecha]],"MMMM")</f>
        <v>febrero</v>
      </c>
      <c r="K356">
        <f>WEEKNUM(tbl_dashboard_ejm[[#This Row],[Fecha]],2)</f>
        <v>9</v>
      </c>
    </row>
    <row r="357" spans="2:11" x14ac:dyDescent="0.3">
      <c r="B357" s="67">
        <v>43885</v>
      </c>
      <c r="C357" t="s">
        <v>182</v>
      </c>
      <c r="D357" t="s">
        <v>165</v>
      </c>
      <c r="E357" t="s">
        <v>166</v>
      </c>
      <c r="F357" t="s">
        <v>163</v>
      </c>
      <c r="G357" s="82">
        <v>2329</v>
      </c>
      <c r="H357" s="82">
        <v>558.96</v>
      </c>
      <c r="I357">
        <f>YEAR(tbl_dashboard_ejm[[#This Row],[Fecha]])</f>
        <v>2020</v>
      </c>
      <c r="J357" t="str">
        <f>TEXT(tbl_dashboard_ejm[[#This Row],[Fecha]],"MMMM")</f>
        <v>febrero</v>
      </c>
      <c r="K357">
        <f>WEEKNUM(tbl_dashboard_ejm[[#This Row],[Fecha]],2)</f>
        <v>9</v>
      </c>
    </row>
    <row r="358" spans="2:11" x14ac:dyDescent="0.3">
      <c r="B358" s="67">
        <v>43885</v>
      </c>
      <c r="C358" t="s">
        <v>183</v>
      </c>
      <c r="D358" t="s">
        <v>161</v>
      </c>
      <c r="E358" t="s">
        <v>162</v>
      </c>
      <c r="F358" t="s">
        <v>169</v>
      </c>
      <c r="G358" s="82">
        <v>8122</v>
      </c>
      <c r="H358" s="82">
        <v>1380.74</v>
      </c>
      <c r="I358">
        <f>YEAR(tbl_dashboard_ejm[[#This Row],[Fecha]])</f>
        <v>2020</v>
      </c>
      <c r="J358" t="str">
        <f>TEXT(tbl_dashboard_ejm[[#This Row],[Fecha]],"MMMM")</f>
        <v>febrero</v>
      </c>
      <c r="K358">
        <f>WEEKNUM(tbl_dashboard_ejm[[#This Row],[Fecha]],2)</f>
        <v>9</v>
      </c>
    </row>
    <row r="359" spans="2:11" x14ac:dyDescent="0.3">
      <c r="B359" s="67">
        <v>43885</v>
      </c>
      <c r="C359" t="s">
        <v>184</v>
      </c>
      <c r="D359" t="s">
        <v>161</v>
      </c>
      <c r="E359" t="s">
        <v>162</v>
      </c>
      <c r="F359" t="s">
        <v>169</v>
      </c>
      <c r="G359" s="82">
        <v>1495</v>
      </c>
      <c r="H359" s="82">
        <v>239.2</v>
      </c>
      <c r="I359">
        <f>YEAR(tbl_dashboard_ejm[[#This Row],[Fecha]])</f>
        <v>2020</v>
      </c>
      <c r="J359" t="str">
        <f>TEXT(tbl_dashboard_ejm[[#This Row],[Fecha]],"MMMM")</f>
        <v>febrero</v>
      </c>
      <c r="K359">
        <f>WEEKNUM(tbl_dashboard_ejm[[#This Row],[Fecha]],2)</f>
        <v>9</v>
      </c>
    </row>
    <row r="360" spans="2:11" x14ac:dyDescent="0.3">
      <c r="B360" s="67">
        <v>43885</v>
      </c>
      <c r="C360" t="s">
        <v>185</v>
      </c>
      <c r="D360" t="s">
        <v>161</v>
      </c>
      <c r="E360" t="s">
        <v>166</v>
      </c>
      <c r="F360" t="s">
        <v>163</v>
      </c>
      <c r="G360" s="82">
        <v>6254</v>
      </c>
      <c r="H360" s="82">
        <v>1000.64</v>
      </c>
      <c r="I360">
        <f>YEAR(tbl_dashboard_ejm[[#This Row],[Fecha]])</f>
        <v>2020</v>
      </c>
      <c r="J360" t="str">
        <f>TEXT(tbl_dashboard_ejm[[#This Row],[Fecha]],"MMMM")</f>
        <v>febrero</v>
      </c>
      <c r="K360">
        <f>WEEKNUM(tbl_dashboard_ejm[[#This Row],[Fecha]],2)</f>
        <v>9</v>
      </c>
    </row>
    <row r="361" spans="2:11" x14ac:dyDescent="0.3">
      <c r="B361" s="67">
        <v>43885</v>
      </c>
      <c r="C361" t="s">
        <v>186</v>
      </c>
      <c r="D361" t="s">
        <v>168</v>
      </c>
      <c r="E361" t="s">
        <v>162</v>
      </c>
      <c r="F361" t="s">
        <v>163</v>
      </c>
      <c r="G361" s="82">
        <v>5496</v>
      </c>
      <c r="H361" s="82">
        <v>1593.84</v>
      </c>
      <c r="I361">
        <f>YEAR(tbl_dashboard_ejm[[#This Row],[Fecha]])</f>
        <v>2020</v>
      </c>
      <c r="J361" t="str">
        <f>TEXT(tbl_dashboard_ejm[[#This Row],[Fecha]],"MMMM")</f>
        <v>febrero</v>
      </c>
      <c r="K361">
        <f>WEEKNUM(tbl_dashboard_ejm[[#This Row],[Fecha]],2)</f>
        <v>9</v>
      </c>
    </row>
    <row r="362" spans="2:11" x14ac:dyDescent="0.3">
      <c r="B362" s="67">
        <v>43885</v>
      </c>
      <c r="C362" t="s">
        <v>187</v>
      </c>
      <c r="D362" t="s">
        <v>161</v>
      </c>
      <c r="E362" t="s">
        <v>166</v>
      </c>
      <c r="F362" t="s">
        <v>169</v>
      </c>
      <c r="G362" s="82">
        <v>1644</v>
      </c>
      <c r="H362" s="82">
        <v>246.6</v>
      </c>
      <c r="I362">
        <f>YEAR(tbl_dashboard_ejm[[#This Row],[Fecha]])</f>
        <v>2020</v>
      </c>
      <c r="J362" t="str">
        <f>TEXT(tbl_dashboard_ejm[[#This Row],[Fecha]],"MMMM")</f>
        <v>febrero</v>
      </c>
      <c r="K362">
        <f>WEEKNUM(tbl_dashboard_ejm[[#This Row],[Fecha]],2)</f>
        <v>9</v>
      </c>
    </row>
    <row r="363" spans="2:11" x14ac:dyDescent="0.3">
      <c r="B363" s="67">
        <v>43885</v>
      </c>
      <c r="C363" t="s">
        <v>188</v>
      </c>
      <c r="D363" t="s">
        <v>161</v>
      </c>
      <c r="E363" t="s">
        <v>162</v>
      </c>
      <c r="F363" t="s">
        <v>163</v>
      </c>
      <c r="G363" s="82">
        <v>11189</v>
      </c>
      <c r="H363" s="82">
        <v>2461.58</v>
      </c>
      <c r="I363">
        <f>YEAR(tbl_dashboard_ejm[[#This Row],[Fecha]])</f>
        <v>2020</v>
      </c>
      <c r="J363" t="str">
        <f>TEXT(tbl_dashboard_ejm[[#This Row],[Fecha]],"MMMM")</f>
        <v>febrero</v>
      </c>
      <c r="K363">
        <f>WEEKNUM(tbl_dashboard_ejm[[#This Row],[Fecha]],2)</f>
        <v>9</v>
      </c>
    </row>
    <row r="364" spans="2:11" x14ac:dyDescent="0.3">
      <c r="B364" s="67">
        <v>43885</v>
      </c>
      <c r="C364" t="s">
        <v>189</v>
      </c>
      <c r="D364" t="s">
        <v>168</v>
      </c>
      <c r="E364" t="s">
        <v>162</v>
      </c>
      <c r="F364" t="s">
        <v>169</v>
      </c>
      <c r="G364" s="82">
        <v>4571</v>
      </c>
      <c r="H364" s="82">
        <v>1828.4</v>
      </c>
      <c r="I364">
        <f>YEAR(tbl_dashboard_ejm[[#This Row],[Fecha]])</f>
        <v>2020</v>
      </c>
      <c r="J364" t="str">
        <f>TEXT(tbl_dashboard_ejm[[#This Row],[Fecha]],"MMMM")</f>
        <v>febrero</v>
      </c>
      <c r="K364">
        <f>WEEKNUM(tbl_dashboard_ejm[[#This Row],[Fecha]],2)</f>
        <v>9</v>
      </c>
    </row>
    <row r="365" spans="2:11" x14ac:dyDescent="0.3">
      <c r="B365" s="67">
        <v>43885</v>
      </c>
      <c r="C365" t="s">
        <v>190</v>
      </c>
      <c r="D365" t="s">
        <v>161</v>
      </c>
      <c r="E365" t="s">
        <v>162</v>
      </c>
      <c r="F365" t="s">
        <v>169</v>
      </c>
      <c r="G365" s="82">
        <v>9472</v>
      </c>
      <c r="H365" s="82">
        <v>1610.24</v>
      </c>
      <c r="I365">
        <f>YEAR(tbl_dashboard_ejm[[#This Row],[Fecha]])</f>
        <v>2020</v>
      </c>
      <c r="J365" t="str">
        <f>TEXT(tbl_dashboard_ejm[[#This Row],[Fecha]],"MMMM")</f>
        <v>febrero</v>
      </c>
      <c r="K365">
        <f>WEEKNUM(tbl_dashboard_ejm[[#This Row],[Fecha]],2)</f>
        <v>9</v>
      </c>
    </row>
    <row r="366" spans="2:11" x14ac:dyDescent="0.3">
      <c r="B366" s="67">
        <v>43885</v>
      </c>
      <c r="C366" t="s">
        <v>191</v>
      </c>
      <c r="D366" t="s">
        <v>168</v>
      </c>
      <c r="E366" t="s">
        <v>162</v>
      </c>
      <c r="F366" t="s">
        <v>169</v>
      </c>
      <c r="G366" s="82">
        <v>1356</v>
      </c>
      <c r="H366" s="82">
        <v>284.76</v>
      </c>
      <c r="I366">
        <f>YEAR(tbl_dashboard_ejm[[#This Row],[Fecha]])</f>
        <v>2020</v>
      </c>
      <c r="J366" t="str">
        <f>TEXT(tbl_dashboard_ejm[[#This Row],[Fecha]],"MMMM")</f>
        <v>febrero</v>
      </c>
      <c r="K366">
        <f>WEEKNUM(tbl_dashboard_ejm[[#This Row],[Fecha]],2)</f>
        <v>9</v>
      </c>
    </row>
    <row r="367" spans="2:11" x14ac:dyDescent="0.3">
      <c r="B367" s="67">
        <v>43885</v>
      </c>
      <c r="C367" t="s">
        <v>192</v>
      </c>
      <c r="D367" t="s">
        <v>168</v>
      </c>
      <c r="E367" t="s">
        <v>166</v>
      </c>
      <c r="F367" t="s">
        <v>169</v>
      </c>
      <c r="G367" s="82">
        <v>4930</v>
      </c>
      <c r="H367" s="82">
        <v>887.4</v>
      </c>
      <c r="I367">
        <f>YEAR(tbl_dashboard_ejm[[#This Row],[Fecha]])</f>
        <v>2020</v>
      </c>
      <c r="J367" t="str">
        <f>TEXT(tbl_dashboard_ejm[[#This Row],[Fecha]],"MMMM")</f>
        <v>febrero</v>
      </c>
      <c r="K367">
        <f>WEEKNUM(tbl_dashboard_ejm[[#This Row],[Fecha]],2)</f>
        <v>9</v>
      </c>
    </row>
    <row r="368" spans="2:11" x14ac:dyDescent="0.3">
      <c r="B368" s="67">
        <v>43885</v>
      </c>
      <c r="C368" t="s">
        <v>193</v>
      </c>
      <c r="D368" t="s">
        <v>168</v>
      </c>
      <c r="E368" t="s">
        <v>162</v>
      </c>
      <c r="F368" t="s">
        <v>169</v>
      </c>
      <c r="G368" s="82">
        <v>6982</v>
      </c>
      <c r="H368" s="82">
        <v>2792.8</v>
      </c>
      <c r="I368">
        <f>YEAR(tbl_dashboard_ejm[[#This Row],[Fecha]])</f>
        <v>2020</v>
      </c>
      <c r="J368" t="str">
        <f>TEXT(tbl_dashboard_ejm[[#This Row],[Fecha]],"MMMM")</f>
        <v>febrero</v>
      </c>
      <c r="K368">
        <f>WEEKNUM(tbl_dashboard_ejm[[#This Row],[Fecha]],2)</f>
        <v>9</v>
      </c>
    </row>
    <row r="369" spans="2:11" x14ac:dyDescent="0.3">
      <c r="B369" s="67">
        <v>43885</v>
      </c>
      <c r="C369" t="s">
        <v>194</v>
      </c>
      <c r="D369" t="s">
        <v>168</v>
      </c>
      <c r="E369" t="s">
        <v>166</v>
      </c>
      <c r="F369" t="s">
        <v>163</v>
      </c>
      <c r="G369" s="82">
        <v>11618</v>
      </c>
      <c r="H369" s="82">
        <v>3717.76</v>
      </c>
      <c r="I369">
        <f>YEAR(tbl_dashboard_ejm[[#This Row],[Fecha]])</f>
        <v>2020</v>
      </c>
      <c r="J369" t="str">
        <f>TEXT(tbl_dashboard_ejm[[#This Row],[Fecha]],"MMMM")</f>
        <v>febrero</v>
      </c>
      <c r="K369">
        <f>WEEKNUM(tbl_dashboard_ejm[[#This Row],[Fecha]],2)</f>
        <v>9</v>
      </c>
    </row>
    <row r="370" spans="2:11" x14ac:dyDescent="0.3">
      <c r="B370" s="67">
        <v>43885</v>
      </c>
      <c r="C370" t="s">
        <v>195</v>
      </c>
      <c r="D370" t="s">
        <v>165</v>
      </c>
      <c r="E370" t="s">
        <v>162</v>
      </c>
      <c r="F370" t="s">
        <v>163</v>
      </c>
      <c r="G370" s="82">
        <v>6667</v>
      </c>
      <c r="H370" s="82">
        <v>1066.72</v>
      </c>
      <c r="I370">
        <f>YEAR(tbl_dashboard_ejm[[#This Row],[Fecha]])</f>
        <v>2020</v>
      </c>
      <c r="J370" t="str">
        <f>TEXT(tbl_dashboard_ejm[[#This Row],[Fecha]],"MMMM")</f>
        <v>febrero</v>
      </c>
      <c r="K370">
        <f>WEEKNUM(tbl_dashboard_ejm[[#This Row],[Fecha]],2)</f>
        <v>9</v>
      </c>
    </row>
    <row r="371" spans="2:11" x14ac:dyDescent="0.3">
      <c r="B371" s="67">
        <v>43885</v>
      </c>
      <c r="C371" t="s">
        <v>196</v>
      </c>
      <c r="D371" t="s">
        <v>168</v>
      </c>
      <c r="E371" t="s">
        <v>166</v>
      </c>
      <c r="F371" t="s">
        <v>169</v>
      </c>
      <c r="G371" s="82">
        <v>2394</v>
      </c>
      <c r="H371" s="82">
        <v>383.04</v>
      </c>
      <c r="I371">
        <f>YEAR(tbl_dashboard_ejm[[#This Row],[Fecha]])</f>
        <v>2020</v>
      </c>
      <c r="J371" t="str">
        <f>TEXT(tbl_dashboard_ejm[[#This Row],[Fecha]],"MMMM")</f>
        <v>febrero</v>
      </c>
      <c r="K371">
        <f>WEEKNUM(tbl_dashboard_ejm[[#This Row],[Fecha]],2)</f>
        <v>9</v>
      </c>
    </row>
    <row r="372" spans="2:11" x14ac:dyDescent="0.3">
      <c r="B372" s="67">
        <v>43885</v>
      </c>
      <c r="C372" t="s">
        <v>197</v>
      </c>
      <c r="D372" t="s">
        <v>161</v>
      </c>
      <c r="E372" t="s">
        <v>162</v>
      </c>
      <c r="F372" t="s">
        <v>169</v>
      </c>
      <c r="G372" s="82">
        <v>6863</v>
      </c>
      <c r="H372" s="82">
        <v>3019.72</v>
      </c>
      <c r="I372">
        <f>YEAR(tbl_dashboard_ejm[[#This Row],[Fecha]])</f>
        <v>2020</v>
      </c>
      <c r="J372" t="str">
        <f>TEXT(tbl_dashboard_ejm[[#This Row],[Fecha]],"MMMM")</f>
        <v>febrero</v>
      </c>
      <c r="K372">
        <f>WEEKNUM(tbl_dashboard_ejm[[#This Row],[Fecha]],2)</f>
        <v>9</v>
      </c>
    </row>
    <row r="373" spans="2:11" x14ac:dyDescent="0.3">
      <c r="B373" s="67">
        <v>43885</v>
      </c>
      <c r="C373" t="s">
        <v>198</v>
      </c>
      <c r="D373" t="s">
        <v>165</v>
      </c>
      <c r="E373" t="s">
        <v>166</v>
      </c>
      <c r="F373" t="s">
        <v>163</v>
      </c>
      <c r="G373" s="82">
        <v>2528</v>
      </c>
      <c r="H373" s="82">
        <v>429.76</v>
      </c>
      <c r="I373">
        <f>YEAR(tbl_dashboard_ejm[[#This Row],[Fecha]])</f>
        <v>2020</v>
      </c>
      <c r="J373" t="str">
        <f>TEXT(tbl_dashboard_ejm[[#This Row],[Fecha]],"MMMM")</f>
        <v>febrero</v>
      </c>
      <c r="K373">
        <f>WEEKNUM(tbl_dashboard_ejm[[#This Row],[Fecha]],2)</f>
        <v>9</v>
      </c>
    </row>
    <row r="374" spans="2:11" x14ac:dyDescent="0.3">
      <c r="B374" s="67">
        <v>43885</v>
      </c>
      <c r="C374" t="s">
        <v>199</v>
      </c>
      <c r="D374" t="s">
        <v>168</v>
      </c>
      <c r="E374" t="s">
        <v>162</v>
      </c>
      <c r="F374" t="s">
        <v>163</v>
      </c>
      <c r="G374" s="82">
        <v>4900</v>
      </c>
      <c r="H374" s="82">
        <v>1911</v>
      </c>
      <c r="I374">
        <f>YEAR(tbl_dashboard_ejm[[#This Row],[Fecha]])</f>
        <v>2020</v>
      </c>
      <c r="J374" t="str">
        <f>TEXT(tbl_dashboard_ejm[[#This Row],[Fecha]],"MMMM")</f>
        <v>febrero</v>
      </c>
      <c r="K374">
        <f>WEEKNUM(tbl_dashboard_ejm[[#This Row],[Fecha]],2)</f>
        <v>9</v>
      </c>
    </row>
    <row r="375" spans="2:11" x14ac:dyDescent="0.3">
      <c r="B375" s="67">
        <v>43920</v>
      </c>
      <c r="C375" t="s">
        <v>160</v>
      </c>
      <c r="D375" t="s">
        <v>165</v>
      </c>
      <c r="E375" t="s">
        <v>162</v>
      </c>
      <c r="F375" t="s">
        <v>169</v>
      </c>
      <c r="G375" s="82">
        <v>1826</v>
      </c>
      <c r="H375" s="82">
        <v>803.44</v>
      </c>
      <c r="I375">
        <f>YEAR(tbl_dashboard_ejm[[#This Row],[Fecha]])</f>
        <v>2020</v>
      </c>
      <c r="J375" t="str">
        <f>TEXT(tbl_dashboard_ejm[[#This Row],[Fecha]],"MMMM")</f>
        <v>marzo</v>
      </c>
      <c r="K375">
        <f>WEEKNUM(tbl_dashboard_ejm[[#This Row],[Fecha]],2)</f>
        <v>14</v>
      </c>
    </row>
    <row r="376" spans="2:11" x14ac:dyDescent="0.3">
      <c r="B376" s="67">
        <v>43916</v>
      </c>
      <c r="C376" t="s">
        <v>164</v>
      </c>
      <c r="D376" t="s">
        <v>165</v>
      </c>
      <c r="E376" t="s">
        <v>166</v>
      </c>
      <c r="F376" t="s">
        <v>163</v>
      </c>
      <c r="G376" s="82">
        <v>5218</v>
      </c>
      <c r="H376" s="82">
        <v>2035.02</v>
      </c>
      <c r="I376">
        <f>YEAR(tbl_dashboard_ejm[[#This Row],[Fecha]])</f>
        <v>2020</v>
      </c>
      <c r="J376" t="str">
        <f>TEXT(tbl_dashboard_ejm[[#This Row],[Fecha]],"MMMM")</f>
        <v>marzo</v>
      </c>
      <c r="K376">
        <f>WEEKNUM(tbl_dashboard_ejm[[#This Row],[Fecha]],2)</f>
        <v>13</v>
      </c>
    </row>
    <row r="377" spans="2:11" x14ac:dyDescent="0.3">
      <c r="B377" s="67">
        <v>43915</v>
      </c>
      <c r="C377" t="s">
        <v>167</v>
      </c>
      <c r="D377" t="s">
        <v>165</v>
      </c>
      <c r="E377" t="s">
        <v>162</v>
      </c>
      <c r="F377" t="s">
        <v>169</v>
      </c>
      <c r="G377" s="82">
        <v>3188</v>
      </c>
      <c r="H377" s="82">
        <v>733.24</v>
      </c>
      <c r="I377">
        <f>YEAR(tbl_dashboard_ejm[[#This Row],[Fecha]])</f>
        <v>2020</v>
      </c>
      <c r="J377" t="str">
        <f>TEXT(tbl_dashboard_ejm[[#This Row],[Fecha]],"MMMM")</f>
        <v>marzo</v>
      </c>
      <c r="K377">
        <f>WEEKNUM(tbl_dashboard_ejm[[#This Row],[Fecha]],2)</f>
        <v>13</v>
      </c>
    </row>
    <row r="378" spans="2:11" x14ac:dyDescent="0.3">
      <c r="B378" s="67">
        <v>43915</v>
      </c>
      <c r="C378" t="s">
        <v>170</v>
      </c>
      <c r="D378" t="s">
        <v>161</v>
      </c>
      <c r="E378" t="s">
        <v>166</v>
      </c>
      <c r="F378" t="s">
        <v>169</v>
      </c>
      <c r="G378" s="82">
        <v>11932</v>
      </c>
      <c r="H378" s="82">
        <v>2744.36</v>
      </c>
      <c r="I378">
        <f>YEAR(tbl_dashboard_ejm[[#This Row],[Fecha]])</f>
        <v>2020</v>
      </c>
      <c r="J378" t="str">
        <f>TEXT(tbl_dashboard_ejm[[#This Row],[Fecha]],"MMMM")</f>
        <v>marzo</v>
      </c>
      <c r="K378">
        <f>WEEKNUM(tbl_dashboard_ejm[[#This Row],[Fecha]],2)</f>
        <v>13</v>
      </c>
    </row>
    <row r="379" spans="2:11" x14ac:dyDescent="0.3">
      <c r="B379" s="67">
        <v>43915</v>
      </c>
      <c r="C379" t="s">
        <v>171</v>
      </c>
      <c r="D379" t="s">
        <v>165</v>
      </c>
      <c r="E379" t="s">
        <v>162</v>
      </c>
      <c r="F379" t="s">
        <v>169</v>
      </c>
      <c r="G379" s="82">
        <v>6950</v>
      </c>
      <c r="H379" s="82">
        <v>2224</v>
      </c>
      <c r="I379">
        <f>YEAR(tbl_dashboard_ejm[[#This Row],[Fecha]])</f>
        <v>2020</v>
      </c>
      <c r="J379" t="str">
        <f>TEXT(tbl_dashboard_ejm[[#This Row],[Fecha]],"MMMM")</f>
        <v>marzo</v>
      </c>
      <c r="K379">
        <f>WEEKNUM(tbl_dashboard_ejm[[#This Row],[Fecha]],2)</f>
        <v>13</v>
      </c>
    </row>
    <row r="380" spans="2:11" x14ac:dyDescent="0.3">
      <c r="B380" s="67">
        <v>43915</v>
      </c>
      <c r="C380" t="s">
        <v>172</v>
      </c>
      <c r="D380" t="s">
        <v>168</v>
      </c>
      <c r="E380" t="s">
        <v>162</v>
      </c>
      <c r="F380" t="s">
        <v>169</v>
      </c>
      <c r="G380" s="82">
        <v>2435</v>
      </c>
      <c r="H380" s="82">
        <v>730.5</v>
      </c>
      <c r="I380">
        <f>YEAR(tbl_dashboard_ejm[[#This Row],[Fecha]])</f>
        <v>2020</v>
      </c>
      <c r="J380" t="str">
        <f>TEXT(tbl_dashboard_ejm[[#This Row],[Fecha]],"MMMM")</f>
        <v>marzo</v>
      </c>
      <c r="K380">
        <f>WEEKNUM(tbl_dashboard_ejm[[#This Row],[Fecha]],2)</f>
        <v>13</v>
      </c>
    </row>
    <row r="381" spans="2:11" x14ac:dyDescent="0.3">
      <c r="B381" s="67">
        <v>43914</v>
      </c>
      <c r="C381" t="s">
        <v>173</v>
      </c>
      <c r="D381" t="s">
        <v>161</v>
      </c>
      <c r="E381" t="s">
        <v>166</v>
      </c>
      <c r="F381" t="s">
        <v>169</v>
      </c>
      <c r="G381" s="82">
        <v>4495</v>
      </c>
      <c r="H381" s="82">
        <v>1573.25</v>
      </c>
      <c r="I381">
        <f>YEAR(tbl_dashboard_ejm[[#This Row],[Fecha]])</f>
        <v>2020</v>
      </c>
      <c r="J381" t="str">
        <f>TEXT(tbl_dashboard_ejm[[#This Row],[Fecha]],"MMMM")</f>
        <v>marzo</v>
      </c>
      <c r="K381">
        <f>WEEKNUM(tbl_dashboard_ejm[[#This Row],[Fecha]],2)</f>
        <v>13</v>
      </c>
    </row>
    <row r="382" spans="2:11" x14ac:dyDescent="0.3">
      <c r="B382" s="67">
        <v>43920</v>
      </c>
      <c r="C382" t="s">
        <v>174</v>
      </c>
      <c r="D382" t="s">
        <v>165</v>
      </c>
      <c r="E382" t="s">
        <v>162</v>
      </c>
      <c r="F382" t="s">
        <v>163</v>
      </c>
      <c r="G382" s="82">
        <v>10100</v>
      </c>
      <c r="H382" s="82">
        <v>1616</v>
      </c>
      <c r="I382">
        <f>YEAR(tbl_dashboard_ejm[[#This Row],[Fecha]])</f>
        <v>2020</v>
      </c>
      <c r="J382" t="str">
        <f>TEXT(tbl_dashboard_ejm[[#This Row],[Fecha]],"MMMM")</f>
        <v>marzo</v>
      </c>
      <c r="K382">
        <f>WEEKNUM(tbl_dashboard_ejm[[#This Row],[Fecha]],2)</f>
        <v>14</v>
      </c>
    </row>
    <row r="383" spans="2:11" x14ac:dyDescent="0.3">
      <c r="B383" s="67">
        <v>43920</v>
      </c>
      <c r="C383" t="s">
        <v>175</v>
      </c>
      <c r="D383" t="s">
        <v>168</v>
      </c>
      <c r="E383" t="s">
        <v>162</v>
      </c>
      <c r="F383" t="s">
        <v>163</v>
      </c>
      <c r="G383" s="82">
        <v>1373</v>
      </c>
      <c r="H383" s="82">
        <v>288.33</v>
      </c>
      <c r="I383">
        <f>YEAR(tbl_dashboard_ejm[[#This Row],[Fecha]])</f>
        <v>2020</v>
      </c>
      <c r="J383" t="str">
        <f>TEXT(tbl_dashboard_ejm[[#This Row],[Fecha]],"MMMM")</f>
        <v>marzo</v>
      </c>
      <c r="K383">
        <f>WEEKNUM(tbl_dashboard_ejm[[#This Row],[Fecha]],2)</f>
        <v>14</v>
      </c>
    </row>
    <row r="384" spans="2:11" x14ac:dyDescent="0.3">
      <c r="B384" s="67">
        <v>43920</v>
      </c>
      <c r="C384" t="s">
        <v>176</v>
      </c>
      <c r="D384" t="s">
        <v>168</v>
      </c>
      <c r="E384" t="s">
        <v>162</v>
      </c>
      <c r="F384" t="s">
        <v>169</v>
      </c>
      <c r="G384" s="82">
        <v>8815</v>
      </c>
      <c r="H384" s="82">
        <v>1322.25</v>
      </c>
      <c r="I384">
        <f>YEAR(tbl_dashboard_ejm[[#This Row],[Fecha]])</f>
        <v>2020</v>
      </c>
      <c r="J384" t="str">
        <f>TEXT(tbl_dashboard_ejm[[#This Row],[Fecha]],"MMMM")</f>
        <v>marzo</v>
      </c>
      <c r="K384">
        <f>WEEKNUM(tbl_dashboard_ejm[[#This Row],[Fecha]],2)</f>
        <v>14</v>
      </c>
    </row>
    <row r="385" spans="2:11" x14ac:dyDescent="0.3">
      <c r="B385" s="67">
        <v>43920</v>
      </c>
      <c r="C385" t="s">
        <v>177</v>
      </c>
      <c r="D385" t="s">
        <v>165</v>
      </c>
      <c r="E385" t="s">
        <v>166</v>
      </c>
      <c r="F385" t="s">
        <v>169</v>
      </c>
      <c r="G385" s="82">
        <v>2781</v>
      </c>
      <c r="H385" s="82">
        <v>556.20000000000005</v>
      </c>
      <c r="I385">
        <f>YEAR(tbl_dashboard_ejm[[#This Row],[Fecha]])</f>
        <v>2020</v>
      </c>
      <c r="J385" t="str">
        <f>TEXT(tbl_dashboard_ejm[[#This Row],[Fecha]],"MMMM")</f>
        <v>marzo</v>
      </c>
      <c r="K385">
        <f>WEEKNUM(tbl_dashboard_ejm[[#This Row],[Fecha]],2)</f>
        <v>14</v>
      </c>
    </row>
    <row r="386" spans="2:11" x14ac:dyDescent="0.3">
      <c r="B386" s="67">
        <v>43920</v>
      </c>
      <c r="C386" t="s">
        <v>178</v>
      </c>
      <c r="D386" t="s">
        <v>165</v>
      </c>
      <c r="E386" t="s">
        <v>162</v>
      </c>
      <c r="F386" t="s">
        <v>163</v>
      </c>
      <c r="G386" s="82">
        <v>7575</v>
      </c>
      <c r="H386" s="82">
        <v>1742.25</v>
      </c>
      <c r="I386">
        <f>YEAR(tbl_dashboard_ejm[[#This Row],[Fecha]])</f>
        <v>2020</v>
      </c>
      <c r="J386" t="str">
        <f>TEXT(tbl_dashboard_ejm[[#This Row],[Fecha]],"MMMM")</f>
        <v>marzo</v>
      </c>
      <c r="K386">
        <f>WEEKNUM(tbl_dashboard_ejm[[#This Row],[Fecha]],2)</f>
        <v>14</v>
      </c>
    </row>
    <row r="387" spans="2:11" x14ac:dyDescent="0.3">
      <c r="B387" s="67">
        <v>43920</v>
      </c>
      <c r="C387" t="s">
        <v>179</v>
      </c>
      <c r="D387" t="s">
        <v>165</v>
      </c>
      <c r="E387" t="s">
        <v>166</v>
      </c>
      <c r="F387" t="s">
        <v>163</v>
      </c>
      <c r="G387" s="82">
        <v>6818</v>
      </c>
      <c r="H387" s="82">
        <v>2659.02</v>
      </c>
      <c r="I387">
        <f>YEAR(tbl_dashboard_ejm[[#This Row],[Fecha]])</f>
        <v>2020</v>
      </c>
      <c r="J387" t="str">
        <f>TEXT(tbl_dashboard_ejm[[#This Row],[Fecha]],"MMMM")</f>
        <v>marzo</v>
      </c>
      <c r="K387">
        <f>WEEKNUM(tbl_dashboard_ejm[[#This Row],[Fecha]],2)</f>
        <v>14</v>
      </c>
    </row>
    <row r="388" spans="2:11" x14ac:dyDescent="0.3">
      <c r="B388" s="67">
        <v>43920</v>
      </c>
      <c r="C388" t="s">
        <v>180</v>
      </c>
      <c r="D388" t="s">
        <v>161</v>
      </c>
      <c r="E388" t="s">
        <v>166</v>
      </c>
      <c r="F388" t="s">
        <v>169</v>
      </c>
      <c r="G388" s="82">
        <v>1947</v>
      </c>
      <c r="H388" s="82">
        <v>700.92</v>
      </c>
      <c r="I388">
        <f>YEAR(tbl_dashboard_ejm[[#This Row],[Fecha]])</f>
        <v>2020</v>
      </c>
      <c r="J388" t="str">
        <f>TEXT(tbl_dashboard_ejm[[#This Row],[Fecha]],"MMMM")</f>
        <v>marzo</v>
      </c>
      <c r="K388">
        <f>WEEKNUM(tbl_dashboard_ejm[[#This Row],[Fecha]],2)</f>
        <v>14</v>
      </c>
    </row>
    <row r="389" spans="2:11" x14ac:dyDescent="0.3">
      <c r="B389" s="67">
        <v>43916</v>
      </c>
      <c r="C389" t="s">
        <v>181</v>
      </c>
      <c r="D389" t="s">
        <v>161</v>
      </c>
      <c r="E389" t="s">
        <v>162</v>
      </c>
      <c r="F389" t="s">
        <v>163</v>
      </c>
      <c r="G389" s="82">
        <v>10919</v>
      </c>
      <c r="H389" s="82">
        <v>3712.46</v>
      </c>
      <c r="I389">
        <f>YEAR(tbl_dashboard_ejm[[#This Row],[Fecha]])</f>
        <v>2020</v>
      </c>
      <c r="J389" t="str">
        <f>TEXT(tbl_dashboard_ejm[[#This Row],[Fecha]],"MMMM")</f>
        <v>marzo</v>
      </c>
      <c r="K389">
        <f>WEEKNUM(tbl_dashboard_ejm[[#This Row],[Fecha]],2)</f>
        <v>13</v>
      </c>
    </row>
    <row r="390" spans="2:11" x14ac:dyDescent="0.3">
      <c r="B390" s="67">
        <v>43915</v>
      </c>
      <c r="C390" t="s">
        <v>182</v>
      </c>
      <c r="D390" t="s">
        <v>165</v>
      </c>
      <c r="E390" t="s">
        <v>162</v>
      </c>
      <c r="F390" t="s">
        <v>169</v>
      </c>
      <c r="G390" s="82">
        <v>8167</v>
      </c>
      <c r="H390" s="82">
        <v>3348.47</v>
      </c>
      <c r="I390">
        <f>YEAR(tbl_dashboard_ejm[[#This Row],[Fecha]])</f>
        <v>2020</v>
      </c>
      <c r="J390" t="str">
        <f>TEXT(tbl_dashboard_ejm[[#This Row],[Fecha]],"MMMM")</f>
        <v>marzo</v>
      </c>
      <c r="K390">
        <f>WEEKNUM(tbl_dashboard_ejm[[#This Row],[Fecha]],2)</f>
        <v>13</v>
      </c>
    </row>
    <row r="391" spans="2:11" x14ac:dyDescent="0.3">
      <c r="B391" s="67">
        <v>43915</v>
      </c>
      <c r="C391" t="s">
        <v>183</v>
      </c>
      <c r="D391" t="s">
        <v>168</v>
      </c>
      <c r="E391" t="s">
        <v>166</v>
      </c>
      <c r="F391" t="s">
        <v>169</v>
      </c>
      <c r="G391" s="82">
        <v>5909</v>
      </c>
      <c r="H391" s="82">
        <v>1299.98</v>
      </c>
      <c r="I391">
        <f>YEAR(tbl_dashboard_ejm[[#This Row],[Fecha]])</f>
        <v>2020</v>
      </c>
      <c r="J391" t="str">
        <f>TEXT(tbl_dashboard_ejm[[#This Row],[Fecha]],"MMMM")</f>
        <v>marzo</v>
      </c>
      <c r="K391">
        <f>WEEKNUM(tbl_dashboard_ejm[[#This Row],[Fecha]],2)</f>
        <v>13</v>
      </c>
    </row>
    <row r="392" spans="2:11" x14ac:dyDescent="0.3">
      <c r="B392" s="67">
        <v>43915</v>
      </c>
      <c r="C392" t="s">
        <v>184</v>
      </c>
      <c r="D392" t="s">
        <v>168</v>
      </c>
      <c r="E392" t="s">
        <v>166</v>
      </c>
      <c r="F392" t="s">
        <v>169</v>
      </c>
      <c r="G392" s="82">
        <v>8508</v>
      </c>
      <c r="H392" s="82">
        <v>1361.28</v>
      </c>
      <c r="I392">
        <f>YEAR(tbl_dashboard_ejm[[#This Row],[Fecha]])</f>
        <v>2020</v>
      </c>
      <c r="J392" t="str">
        <f>TEXT(tbl_dashboard_ejm[[#This Row],[Fecha]],"MMMM")</f>
        <v>marzo</v>
      </c>
      <c r="K392">
        <f>WEEKNUM(tbl_dashboard_ejm[[#This Row],[Fecha]],2)</f>
        <v>13</v>
      </c>
    </row>
    <row r="393" spans="2:11" x14ac:dyDescent="0.3">
      <c r="B393" s="67">
        <v>43915</v>
      </c>
      <c r="C393" t="s">
        <v>185</v>
      </c>
      <c r="D393" t="s">
        <v>165</v>
      </c>
      <c r="E393" t="s">
        <v>166</v>
      </c>
      <c r="F393" t="s">
        <v>169</v>
      </c>
      <c r="G393" s="82">
        <v>10706</v>
      </c>
      <c r="H393" s="82">
        <v>4282.3999999999996</v>
      </c>
      <c r="I393">
        <f>YEAR(tbl_dashboard_ejm[[#This Row],[Fecha]])</f>
        <v>2020</v>
      </c>
      <c r="J393" t="str">
        <f>TEXT(tbl_dashboard_ejm[[#This Row],[Fecha]],"MMMM")</f>
        <v>marzo</v>
      </c>
      <c r="K393">
        <f>WEEKNUM(tbl_dashboard_ejm[[#This Row],[Fecha]],2)</f>
        <v>13</v>
      </c>
    </row>
    <row r="394" spans="2:11" x14ac:dyDescent="0.3">
      <c r="B394" s="67">
        <v>43914</v>
      </c>
      <c r="C394" t="s">
        <v>186</v>
      </c>
      <c r="D394" t="s">
        <v>165</v>
      </c>
      <c r="E394" t="s">
        <v>162</v>
      </c>
      <c r="F394" t="s">
        <v>169</v>
      </c>
      <c r="G394" s="82">
        <v>6256</v>
      </c>
      <c r="H394" s="82">
        <v>1000.96</v>
      </c>
      <c r="I394">
        <f>YEAR(tbl_dashboard_ejm[[#This Row],[Fecha]])</f>
        <v>2020</v>
      </c>
      <c r="J394" t="str">
        <f>TEXT(tbl_dashboard_ejm[[#This Row],[Fecha]],"MMMM")</f>
        <v>marzo</v>
      </c>
      <c r="K394">
        <f>WEEKNUM(tbl_dashboard_ejm[[#This Row],[Fecha]],2)</f>
        <v>13</v>
      </c>
    </row>
    <row r="395" spans="2:11" x14ac:dyDescent="0.3">
      <c r="B395" s="67">
        <v>43921</v>
      </c>
      <c r="C395" t="s">
        <v>187</v>
      </c>
      <c r="D395" t="s">
        <v>165</v>
      </c>
      <c r="E395" t="s">
        <v>166</v>
      </c>
      <c r="F395" t="s">
        <v>163</v>
      </c>
      <c r="G395" s="82">
        <v>2440</v>
      </c>
      <c r="H395" s="82">
        <v>1024.8</v>
      </c>
      <c r="I395">
        <f>YEAR(tbl_dashboard_ejm[[#This Row],[Fecha]])</f>
        <v>2020</v>
      </c>
      <c r="J395" t="str">
        <f>TEXT(tbl_dashboard_ejm[[#This Row],[Fecha]],"MMMM")</f>
        <v>marzo</v>
      </c>
      <c r="K395">
        <f>WEEKNUM(tbl_dashboard_ejm[[#This Row],[Fecha]],2)</f>
        <v>14</v>
      </c>
    </row>
    <row r="396" spans="2:11" x14ac:dyDescent="0.3">
      <c r="B396" s="67">
        <v>43921</v>
      </c>
      <c r="C396" t="s">
        <v>188</v>
      </c>
      <c r="D396" t="s">
        <v>161</v>
      </c>
      <c r="E396" t="s">
        <v>162</v>
      </c>
      <c r="F396" t="s">
        <v>163</v>
      </c>
      <c r="G396" s="82">
        <v>11442</v>
      </c>
      <c r="H396" s="82">
        <v>2974.92</v>
      </c>
      <c r="I396">
        <f>YEAR(tbl_dashboard_ejm[[#This Row],[Fecha]])</f>
        <v>2020</v>
      </c>
      <c r="J396" t="str">
        <f>TEXT(tbl_dashboard_ejm[[#This Row],[Fecha]],"MMMM")</f>
        <v>marzo</v>
      </c>
      <c r="K396">
        <f>WEEKNUM(tbl_dashboard_ejm[[#This Row],[Fecha]],2)</f>
        <v>14</v>
      </c>
    </row>
    <row r="397" spans="2:11" x14ac:dyDescent="0.3">
      <c r="B397" s="67">
        <v>43921</v>
      </c>
      <c r="C397" t="s">
        <v>189</v>
      </c>
      <c r="D397" t="s">
        <v>165</v>
      </c>
      <c r="E397" t="s">
        <v>162</v>
      </c>
      <c r="F397" t="s">
        <v>169</v>
      </c>
      <c r="G397" s="82">
        <v>2188</v>
      </c>
      <c r="H397" s="82">
        <v>787.68</v>
      </c>
      <c r="I397">
        <f>YEAR(tbl_dashboard_ejm[[#This Row],[Fecha]])</f>
        <v>2020</v>
      </c>
      <c r="J397" t="str">
        <f>TEXT(tbl_dashboard_ejm[[#This Row],[Fecha]],"MMMM")</f>
        <v>marzo</v>
      </c>
      <c r="K397">
        <f>WEEKNUM(tbl_dashboard_ejm[[#This Row],[Fecha]],2)</f>
        <v>14</v>
      </c>
    </row>
    <row r="398" spans="2:11" x14ac:dyDescent="0.3">
      <c r="B398" s="67">
        <v>43951</v>
      </c>
      <c r="C398" t="s">
        <v>160</v>
      </c>
      <c r="D398" t="s">
        <v>165</v>
      </c>
      <c r="E398" t="s">
        <v>162</v>
      </c>
      <c r="F398" t="s">
        <v>169</v>
      </c>
      <c r="G398" s="82">
        <v>10680</v>
      </c>
      <c r="H398" s="82">
        <v>3417.6</v>
      </c>
      <c r="I398">
        <f>YEAR(tbl_dashboard_ejm[[#This Row],[Fecha]])</f>
        <v>2020</v>
      </c>
      <c r="J398" t="str">
        <f>TEXT(tbl_dashboard_ejm[[#This Row],[Fecha]],"MMMM")</f>
        <v>abril</v>
      </c>
      <c r="K398">
        <f>WEEKNUM(tbl_dashboard_ejm[[#This Row],[Fecha]],2)</f>
        <v>18</v>
      </c>
    </row>
    <row r="399" spans="2:11" x14ac:dyDescent="0.3">
      <c r="B399" s="67">
        <v>43951</v>
      </c>
      <c r="C399" t="s">
        <v>164</v>
      </c>
      <c r="D399" t="s">
        <v>168</v>
      </c>
      <c r="E399" t="s">
        <v>162</v>
      </c>
      <c r="F399" t="s">
        <v>163</v>
      </c>
      <c r="G399" s="82">
        <v>7884</v>
      </c>
      <c r="H399" s="82">
        <v>2601.7199999999998</v>
      </c>
      <c r="I399">
        <f>YEAR(tbl_dashboard_ejm[[#This Row],[Fecha]])</f>
        <v>2020</v>
      </c>
      <c r="J399" t="str">
        <f>TEXT(tbl_dashboard_ejm[[#This Row],[Fecha]],"MMMM")</f>
        <v>abril</v>
      </c>
      <c r="K399">
        <f>WEEKNUM(tbl_dashboard_ejm[[#This Row],[Fecha]],2)</f>
        <v>18</v>
      </c>
    </row>
    <row r="400" spans="2:11" x14ac:dyDescent="0.3">
      <c r="B400" s="67">
        <v>43951</v>
      </c>
      <c r="C400" t="s">
        <v>167</v>
      </c>
      <c r="D400" t="s">
        <v>165</v>
      </c>
      <c r="E400" t="s">
        <v>162</v>
      </c>
      <c r="F400" t="s">
        <v>163</v>
      </c>
      <c r="G400" s="82">
        <v>9392</v>
      </c>
      <c r="H400" s="82">
        <v>2348</v>
      </c>
      <c r="I400">
        <f>YEAR(tbl_dashboard_ejm[[#This Row],[Fecha]])</f>
        <v>2020</v>
      </c>
      <c r="J400" t="str">
        <f>TEXT(tbl_dashboard_ejm[[#This Row],[Fecha]],"MMMM")</f>
        <v>abril</v>
      </c>
      <c r="K400">
        <f>WEEKNUM(tbl_dashboard_ejm[[#This Row],[Fecha]],2)</f>
        <v>18</v>
      </c>
    </row>
    <row r="401" spans="2:11" x14ac:dyDescent="0.3">
      <c r="B401" s="67">
        <v>43951</v>
      </c>
      <c r="C401" t="s">
        <v>170</v>
      </c>
      <c r="D401" t="s">
        <v>161</v>
      </c>
      <c r="E401" t="s">
        <v>162</v>
      </c>
      <c r="F401" t="s">
        <v>169</v>
      </c>
      <c r="G401" s="82">
        <v>3499</v>
      </c>
      <c r="H401" s="82">
        <v>1399.6</v>
      </c>
      <c r="I401">
        <f>YEAR(tbl_dashboard_ejm[[#This Row],[Fecha]])</f>
        <v>2020</v>
      </c>
      <c r="J401" t="str">
        <f>TEXT(tbl_dashboard_ejm[[#This Row],[Fecha]],"MMMM")</f>
        <v>abril</v>
      </c>
      <c r="K401">
        <f>WEEKNUM(tbl_dashboard_ejm[[#This Row],[Fecha]],2)</f>
        <v>18</v>
      </c>
    </row>
    <row r="402" spans="2:11" x14ac:dyDescent="0.3">
      <c r="B402" s="67">
        <v>43947</v>
      </c>
      <c r="C402" t="s">
        <v>171</v>
      </c>
      <c r="D402" t="s">
        <v>161</v>
      </c>
      <c r="E402" t="s">
        <v>162</v>
      </c>
      <c r="F402" t="s">
        <v>163</v>
      </c>
      <c r="G402" s="82">
        <v>1906</v>
      </c>
      <c r="H402" s="82">
        <v>285.89999999999998</v>
      </c>
      <c r="I402">
        <f>YEAR(tbl_dashboard_ejm[[#This Row],[Fecha]])</f>
        <v>2020</v>
      </c>
      <c r="J402" t="str">
        <f>TEXT(tbl_dashboard_ejm[[#This Row],[Fecha]],"MMMM")</f>
        <v>abril</v>
      </c>
      <c r="K402">
        <f>WEEKNUM(tbl_dashboard_ejm[[#This Row],[Fecha]],2)</f>
        <v>17</v>
      </c>
    </row>
    <row r="403" spans="2:11" x14ac:dyDescent="0.3">
      <c r="B403" s="67">
        <v>43946</v>
      </c>
      <c r="C403" t="s">
        <v>172</v>
      </c>
      <c r="D403" t="s">
        <v>161</v>
      </c>
      <c r="E403" t="s">
        <v>166</v>
      </c>
      <c r="F403" t="s">
        <v>169</v>
      </c>
      <c r="G403" s="82">
        <v>11046</v>
      </c>
      <c r="H403" s="82">
        <v>3313.8</v>
      </c>
      <c r="I403">
        <f>YEAR(tbl_dashboard_ejm[[#This Row],[Fecha]])</f>
        <v>2020</v>
      </c>
      <c r="J403" t="str">
        <f>TEXT(tbl_dashboard_ejm[[#This Row],[Fecha]],"MMMM")</f>
        <v>abril</v>
      </c>
      <c r="K403">
        <f>WEEKNUM(tbl_dashboard_ejm[[#This Row],[Fecha]],2)</f>
        <v>17</v>
      </c>
    </row>
    <row r="404" spans="2:11" x14ac:dyDescent="0.3">
      <c r="B404" s="67">
        <v>43946</v>
      </c>
      <c r="C404" t="s">
        <v>173</v>
      </c>
      <c r="D404" t="s">
        <v>168</v>
      </c>
      <c r="E404" t="s">
        <v>166</v>
      </c>
      <c r="F404" t="s">
        <v>169</v>
      </c>
      <c r="G404" s="82">
        <v>9987</v>
      </c>
      <c r="H404" s="82">
        <v>1697.79</v>
      </c>
      <c r="I404">
        <f>YEAR(tbl_dashboard_ejm[[#This Row],[Fecha]])</f>
        <v>2020</v>
      </c>
      <c r="J404" t="str">
        <f>TEXT(tbl_dashboard_ejm[[#This Row],[Fecha]],"MMMM")</f>
        <v>abril</v>
      </c>
      <c r="K404">
        <f>WEEKNUM(tbl_dashboard_ejm[[#This Row],[Fecha]],2)</f>
        <v>17</v>
      </c>
    </row>
    <row r="405" spans="2:11" x14ac:dyDescent="0.3">
      <c r="B405" s="67">
        <v>43946</v>
      </c>
      <c r="C405" t="s">
        <v>174</v>
      </c>
      <c r="D405" t="s">
        <v>161</v>
      </c>
      <c r="E405" t="s">
        <v>162</v>
      </c>
      <c r="F405" t="s">
        <v>169</v>
      </c>
      <c r="G405" s="82">
        <v>7574</v>
      </c>
      <c r="H405" s="82">
        <v>2423.6799999999998</v>
      </c>
      <c r="I405">
        <f>YEAR(tbl_dashboard_ejm[[#This Row],[Fecha]])</f>
        <v>2020</v>
      </c>
      <c r="J405" t="str">
        <f>TEXT(tbl_dashboard_ejm[[#This Row],[Fecha]],"MMMM")</f>
        <v>abril</v>
      </c>
      <c r="K405">
        <f>WEEKNUM(tbl_dashboard_ejm[[#This Row],[Fecha]],2)</f>
        <v>17</v>
      </c>
    </row>
    <row r="406" spans="2:11" x14ac:dyDescent="0.3">
      <c r="B406" s="67">
        <v>43946</v>
      </c>
      <c r="C406" t="s">
        <v>175</v>
      </c>
      <c r="D406" t="s">
        <v>161</v>
      </c>
      <c r="E406" t="s">
        <v>166</v>
      </c>
      <c r="F406" t="s">
        <v>169</v>
      </c>
      <c r="G406" s="82">
        <v>6522</v>
      </c>
      <c r="H406" s="82">
        <v>2804.46</v>
      </c>
      <c r="I406">
        <f>YEAR(tbl_dashboard_ejm[[#This Row],[Fecha]])</f>
        <v>2020</v>
      </c>
      <c r="J406" t="str">
        <f>TEXT(tbl_dashboard_ejm[[#This Row],[Fecha]],"MMMM")</f>
        <v>abril</v>
      </c>
      <c r="K406">
        <f>WEEKNUM(tbl_dashboard_ejm[[#This Row],[Fecha]],2)</f>
        <v>17</v>
      </c>
    </row>
    <row r="407" spans="2:11" x14ac:dyDescent="0.3">
      <c r="B407" s="67">
        <v>43945</v>
      </c>
      <c r="C407" t="s">
        <v>176</v>
      </c>
      <c r="D407" t="s">
        <v>168</v>
      </c>
      <c r="E407" t="s">
        <v>162</v>
      </c>
      <c r="F407" t="s">
        <v>169</v>
      </c>
      <c r="G407" s="82">
        <v>1223</v>
      </c>
      <c r="H407" s="82">
        <v>391.36</v>
      </c>
      <c r="I407">
        <f>YEAR(tbl_dashboard_ejm[[#This Row],[Fecha]])</f>
        <v>2020</v>
      </c>
      <c r="J407" t="str">
        <f>TEXT(tbl_dashboard_ejm[[#This Row],[Fecha]],"MMMM")</f>
        <v>abril</v>
      </c>
      <c r="K407">
        <f>WEEKNUM(tbl_dashboard_ejm[[#This Row],[Fecha]],2)</f>
        <v>17</v>
      </c>
    </row>
    <row r="408" spans="2:11" x14ac:dyDescent="0.3">
      <c r="B408" s="67">
        <v>43951</v>
      </c>
      <c r="C408" t="s">
        <v>177</v>
      </c>
      <c r="D408" t="s">
        <v>161</v>
      </c>
      <c r="E408" t="s">
        <v>162</v>
      </c>
      <c r="F408" t="s">
        <v>163</v>
      </c>
      <c r="G408" s="82">
        <v>4230</v>
      </c>
      <c r="H408" s="82">
        <v>1395.9</v>
      </c>
      <c r="I408">
        <f>YEAR(tbl_dashboard_ejm[[#This Row],[Fecha]])</f>
        <v>2020</v>
      </c>
      <c r="J408" t="str">
        <f>TEXT(tbl_dashboard_ejm[[#This Row],[Fecha]],"MMMM")</f>
        <v>abril</v>
      </c>
      <c r="K408">
        <f>WEEKNUM(tbl_dashboard_ejm[[#This Row],[Fecha]],2)</f>
        <v>18</v>
      </c>
    </row>
    <row r="409" spans="2:11" x14ac:dyDescent="0.3">
      <c r="B409" s="67">
        <v>43951</v>
      </c>
      <c r="C409" t="s">
        <v>178</v>
      </c>
      <c r="D409" t="s">
        <v>168</v>
      </c>
      <c r="E409" t="s">
        <v>162</v>
      </c>
      <c r="F409" t="s">
        <v>163</v>
      </c>
      <c r="G409" s="82">
        <v>8925</v>
      </c>
      <c r="H409" s="82">
        <v>2499</v>
      </c>
      <c r="I409">
        <f>YEAR(tbl_dashboard_ejm[[#This Row],[Fecha]])</f>
        <v>2020</v>
      </c>
      <c r="J409" t="str">
        <f>TEXT(tbl_dashboard_ejm[[#This Row],[Fecha]],"MMMM")</f>
        <v>abril</v>
      </c>
      <c r="K409">
        <f>WEEKNUM(tbl_dashboard_ejm[[#This Row],[Fecha]],2)</f>
        <v>18</v>
      </c>
    </row>
    <row r="410" spans="2:11" x14ac:dyDescent="0.3">
      <c r="B410" s="67">
        <v>43951</v>
      </c>
      <c r="C410" t="s">
        <v>179</v>
      </c>
      <c r="D410" t="s">
        <v>168</v>
      </c>
      <c r="E410" t="s">
        <v>166</v>
      </c>
      <c r="F410" t="s">
        <v>169</v>
      </c>
      <c r="G410" s="82">
        <v>7826</v>
      </c>
      <c r="H410" s="82">
        <v>2739.1</v>
      </c>
      <c r="I410">
        <f>YEAR(tbl_dashboard_ejm[[#This Row],[Fecha]])</f>
        <v>2020</v>
      </c>
      <c r="J410" t="str">
        <f>TEXT(tbl_dashboard_ejm[[#This Row],[Fecha]],"MMMM")</f>
        <v>abril</v>
      </c>
      <c r="K410">
        <f>WEEKNUM(tbl_dashboard_ejm[[#This Row],[Fecha]],2)</f>
        <v>18</v>
      </c>
    </row>
    <row r="411" spans="2:11" x14ac:dyDescent="0.3">
      <c r="B411" s="67">
        <v>43951</v>
      </c>
      <c r="C411" t="s">
        <v>180</v>
      </c>
      <c r="D411" t="s">
        <v>168</v>
      </c>
      <c r="E411" t="s">
        <v>162</v>
      </c>
      <c r="F411" t="s">
        <v>169</v>
      </c>
      <c r="G411" s="82">
        <v>9201</v>
      </c>
      <c r="H411" s="82">
        <v>2944.32</v>
      </c>
      <c r="I411">
        <f>YEAR(tbl_dashboard_ejm[[#This Row],[Fecha]])</f>
        <v>2020</v>
      </c>
      <c r="J411" t="str">
        <f>TEXT(tbl_dashboard_ejm[[#This Row],[Fecha]],"MMMM")</f>
        <v>abril</v>
      </c>
      <c r="K411">
        <f>WEEKNUM(tbl_dashboard_ejm[[#This Row],[Fecha]],2)</f>
        <v>18</v>
      </c>
    </row>
    <row r="412" spans="2:11" x14ac:dyDescent="0.3">
      <c r="B412" s="67">
        <v>43951</v>
      </c>
      <c r="C412" t="s">
        <v>181</v>
      </c>
      <c r="D412" t="s">
        <v>168</v>
      </c>
      <c r="E412" t="s">
        <v>166</v>
      </c>
      <c r="F412" t="s">
        <v>163</v>
      </c>
      <c r="G412" s="82">
        <v>3229</v>
      </c>
      <c r="H412" s="82">
        <v>516.64</v>
      </c>
      <c r="I412">
        <f>YEAR(tbl_dashboard_ejm[[#This Row],[Fecha]])</f>
        <v>2020</v>
      </c>
      <c r="J412" t="str">
        <f>TEXT(tbl_dashboard_ejm[[#This Row],[Fecha]],"MMMM")</f>
        <v>abril</v>
      </c>
      <c r="K412">
        <f>WEEKNUM(tbl_dashboard_ejm[[#This Row],[Fecha]],2)</f>
        <v>18</v>
      </c>
    </row>
    <row r="413" spans="2:11" x14ac:dyDescent="0.3">
      <c r="B413" s="67">
        <v>43951</v>
      </c>
      <c r="C413" t="s">
        <v>182</v>
      </c>
      <c r="D413" t="s">
        <v>165</v>
      </c>
      <c r="E413" t="s">
        <v>166</v>
      </c>
      <c r="F413" t="s">
        <v>163</v>
      </c>
      <c r="G413" s="82">
        <v>7902</v>
      </c>
      <c r="H413" s="82">
        <v>2765.7</v>
      </c>
      <c r="I413">
        <f>YEAR(tbl_dashboard_ejm[[#This Row],[Fecha]])</f>
        <v>2020</v>
      </c>
      <c r="J413" t="str">
        <f>TEXT(tbl_dashboard_ejm[[#This Row],[Fecha]],"MMMM")</f>
        <v>abril</v>
      </c>
      <c r="K413">
        <f>WEEKNUM(tbl_dashboard_ejm[[#This Row],[Fecha]],2)</f>
        <v>18</v>
      </c>
    </row>
    <row r="414" spans="2:11" x14ac:dyDescent="0.3">
      <c r="B414" s="67">
        <v>43951</v>
      </c>
      <c r="C414" t="s">
        <v>183</v>
      </c>
      <c r="D414" t="s">
        <v>168</v>
      </c>
      <c r="E414" t="s">
        <v>166</v>
      </c>
      <c r="F414" t="s">
        <v>169</v>
      </c>
      <c r="G414" s="82">
        <v>5020</v>
      </c>
      <c r="H414" s="82">
        <v>1957.8</v>
      </c>
      <c r="I414">
        <f>YEAR(tbl_dashboard_ejm[[#This Row],[Fecha]])</f>
        <v>2020</v>
      </c>
      <c r="J414" t="str">
        <f>TEXT(tbl_dashboard_ejm[[#This Row],[Fecha]],"MMMM")</f>
        <v>abril</v>
      </c>
      <c r="K414">
        <f>WEEKNUM(tbl_dashboard_ejm[[#This Row],[Fecha]],2)</f>
        <v>18</v>
      </c>
    </row>
    <row r="415" spans="2:11" x14ac:dyDescent="0.3">
      <c r="B415" s="67">
        <v>43947</v>
      </c>
      <c r="C415" t="s">
        <v>184</v>
      </c>
      <c r="D415" t="s">
        <v>161</v>
      </c>
      <c r="E415" t="s">
        <v>162</v>
      </c>
      <c r="F415" t="s">
        <v>163</v>
      </c>
      <c r="G415" s="82">
        <v>3295</v>
      </c>
      <c r="H415" s="82">
        <v>691.95</v>
      </c>
      <c r="I415">
        <f>YEAR(tbl_dashboard_ejm[[#This Row],[Fecha]])</f>
        <v>2020</v>
      </c>
      <c r="J415" t="str">
        <f>TEXT(tbl_dashboard_ejm[[#This Row],[Fecha]],"MMMM")</f>
        <v>abril</v>
      </c>
      <c r="K415">
        <f>WEEKNUM(tbl_dashboard_ejm[[#This Row],[Fecha]],2)</f>
        <v>17</v>
      </c>
    </row>
    <row r="416" spans="2:11" x14ac:dyDescent="0.3">
      <c r="B416" s="67">
        <v>43946</v>
      </c>
      <c r="C416" t="s">
        <v>185</v>
      </c>
      <c r="D416" t="s">
        <v>165</v>
      </c>
      <c r="E416" t="s">
        <v>162</v>
      </c>
      <c r="F416" t="s">
        <v>169</v>
      </c>
      <c r="G416" s="82">
        <v>6450</v>
      </c>
      <c r="H416" s="82">
        <v>1806</v>
      </c>
      <c r="I416">
        <f>YEAR(tbl_dashboard_ejm[[#This Row],[Fecha]])</f>
        <v>2020</v>
      </c>
      <c r="J416" t="str">
        <f>TEXT(tbl_dashboard_ejm[[#This Row],[Fecha]],"MMMM")</f>
        <v>abril</v>
      </c>
      <c r="K416">
        <f>WEEKNUM(tbl_dashboard_ejm[[#This Row],[Fecha]],2)</f>
        <v>17</v>
      </c>
    </row>
    <row r="417" spans="2:11" x14ac:dyDescent="0.3">
      <c r="B417" s="67">
        <v>43946</v>
      </c>
      <c r="C417" t="s">
        <v>186</v>
      </c>
      <c r="D417" t="s">
        <v>168</v>
      </c>
      <c r="E417" t="s">
        <v>162</v>
      </c>
      <c r="F417" t="s">
        <v>169</v>
      </c>
      <c r="G417" s="82">
        <v>1602</v>
      </c>
      <c r="H417" s="82">
        <v>448.56</v>
      </c>
      <c r="I417">
        <f>YEAR(tbl_dashboard_ejm[[#This Row],[Fecha]])</f>
        <v>2020</v>
      </c>
      <c r="J417" t="str">
        <f>TEXT(tbl_dashboard_ejm[[#This Row],[Fecha]],"MMMM")</f>
        <v>abril</v>
      </c>
      <c r="K417">
        <f>WEEKNUM(tbl_dashboard_ejm[[#This Row],[Fecha]],2)</f>
        <v>17</v>
      </c>
    </row>
    <row r="418" spans="2:11" x14ac:dyDescent="0.3">
      <c r="B418" s="67">
        <v>43946</v>
      </c>
      <c r="C418" t="s">
        <v>187</v>
      </c>
      <c r="D418" t="s">
        <v>165</v>
      </c>
      <c r="E418" t="s">
        <v>162</v>
      </c>
      <c r="F418" t="s">
        <v>169</v>
      </c>
      <c r="G418" s="82">
        <v>10835</v>
      </c>
      <c r="H418" s="82">
        <v>2275.35</v>
      </c>
      <c r="I418">
        <f>YEAR(tbl_dashboard_ejm[[#This Row],[Fecha]])</f>
        <v>2020</v>
      </c>
      <c r="J418" t="str">
        <f>TEXT(tbl_dashboard_ejm[[#This Row],[Fecha]],"MMMM")</f>
        <v>abril</v>
      </c>
      <c r="K418">
        <f>WEEKNUM(tbl_dashboard_ejm[[#This Row],[Fecha]],2)</f>
        <v>17</v>
      </c>
    </row>
    <row r="419" spans="2:11" x14ac:dyDescent="0.3">
      <c r="B419" s="67">
        <v>43946</v>
      </c>
      <c r="C419" t="s">
        <v>188</v>
      </c>
      <c r="D419" t="s">
        <v>165</v>
      </c>
      <c r="E419" t="s">
        <v>166</v>
      </c>
      <c r="F419" t="s">
        <v>169</v>
      </c>
      <c r="G419" s="82">
        <v>10468</v>
      </c>
      <c r="H419" s="82">
        <v>2093.6</v>
      </c>
      <c r="I419">
        <f>YEAR(tbl_dashboard_ejm[[#This Row],[Fecha]])</f>
        <v>2020</v>
      </c>
      <c r="J419" t="str">
        <f>TEXT(tbl_dashboard_ejm[[#This Row],[Fecha]],"MMMM")</f>
        <v>abril</v>
      </c>
      <c r="K419">
        <f>WEEKNUM(tbl_dashboard_ejm[[#This Row],[Fecha]],2)</f>
        <v>17</v>
      </c>
    </row>
    <row r="420" spans="2:11" x14ac:dyDescent="0.3">
      <c r="B420" s="67">
        <v>43945</v>
      </c>
      <c r="C420" t="s">
        <v>189</v>
      </c>
      <c r="D420" t="s">
        <v>165</v>
      </c>
      <c r="E420" t="s">
        <v>162</v>
      </c>
      <c r="F420" t="s">
        <v>169</v>
      </c>
      <c r="G420" s="82">
        <v>4110</v>
      </c>
      <c r="H420" s="82">
        <v>1356.3</v>
      </c>
      <c r="I420">
        <f>YEAR(tbl_dashboard_ejm[[#This Row],[Fecha]])</f>
        <v>2020</v>
      </c>
      <c r="J420" t="str">
        <f>TEXT(tbl_dashboard_ejm[[#This Row],[Fecha]],"MMMM")</f>
        <v>abril</v>
      </c>
      <c r="K420">
        <f>WEEKNUM(tbl_dashboard_ejm[[#This Row],[Fecha]],2)</f>
        <v>17</v>
      </c>
    </row>
    <row r="421" spans="2:11" x14ac:dyDescent="0.3">
      <c r="B421" s="67">
        <v>43982</v>
      </c>
      <c r="C421" t="s">
        <v>160</v>
      </c>
      <c r="D421" t="s">
        <v>161</v>
      </c>
      <c r="E421" t="s">
        <v>162</v>
      </c>
      <c r="F421" t="s">
        <v>163</v>
      </c>
      <c r="G421" s="82">
        <v>9514</v>
      </c>
      <c r="H421" s="82">
        <v>1427.1</v>
      </c>
      <c r="I421">
        <f>YEAR(tbl_dashboard_ejm[[#This Row],[Fecha]])</f>
        <v>2020</v>
      </c>
      <c r="J421" t="str">
        <f>TEXT(tbl_dashboard_ejm[[#This Row],[Fecha]],"MMMM")</f>
        <v>mayo</v>
      </c>
      <c r="K421">
        <f>WEEKNUM(tbl_dashboard_ejm[[#This Row],[Fecha]],2)</f>
        <v>22</v>
      </c>
    </row>
    <row r="422" spans="2:11" x14ac:dyDescent="0.3">
      <c r="B422" s="67">
        <v>43982</v>
      </c>
      <c r="C422" t="s">
        <v>164</v>
      </c>
      <c r="D422" t="s">
        <v>165</v>
      </c>
      <c r="E422" t="s">
        <v>166</v>
      </c>
      <c r="F422" t="s">
        <v>163</v>
      </c>
      <c r="G422" s="82">
        <v>8796</v>
      </c>
      <c r="H422" s="82">
        <v>3694.32</v>
      </c>
      <c r="I422">
        <f>YEAR(tbl_dashboard_ejm[[#This Row],[Fecha]])</f>
        <v>2020</v>
      </c>
      <c r="J422" t="str">
        <f>TEXT(tbl_dashboard_ejm[[#This Row],[Fecha]],"MMMM")</f>
        <v>mayo</v>
      </c>
      <c r="K422">
        <f>WEEKNUM(tbl_dashboard_ejm[[#This Row],[Fecha]],2)</f>
        <v>22</v>
      </c>
    </row>
    <row r="423" spans="2:11" x14ac:dyDescent="0.3">
      <c r="B423" s="67">
        <v>43982</v>
      </c>
      <c r="C423" t="s">
        <v>167</v>
      </c>
      <c r="D423" t="s">
        <v>168</v>
      </c>
      <c r="E423" t="s">
        <v>166</v>
      </c>
      <c r="F423" t="s">
        <v>169</v>
      </c>
      <c r="G423" s="82">
        <v>6865</v>
      </c>
      <c r="H423" s="82">
        <v>1510.3</v>
      </c>
      <c r="I423">
        <f>YEAR(tbl_dashboard_ejm[[#This Row],[Fecha]])</f>
        <v>2020</v>
      </c>
      <c r="J423" t="str">
        <f>TEXT(tbl_dashboard_ejm[[#This Row],[Fecha]],"MMMM")</f>
        <v>mayo</v>
      </c>
      <c r="K423">
        <f>WEEKNUM(tbl_dashboard_ejm[[#This Row],[Fecha]],2)</f>
        <v>22</v>
      </c>
    </row>
    <row r="424" spans="2:11" x14ac:dyDescent="0.3">
      <c r="B424" s="67">
        <v>43982</v>
      </c>
      <c r="C424" t="s">
        <v>170</v>
      </c>
      <c r="D424" t="s">
        <v>161</v>
      </c>
      <c r="E424" t="s">
        <v>162</v>
      </c>
      <c r="F424" t="s">
        <v>169</v>
      </c>
      <c r="G424" s="82">
        <v>1379</v>
      </c>
      <c r="H424" s="82">
        <v>262.01</v>
      </c>
      <c r="I424">
        <f>YEAR(tbl_dashboard_ejm[[#This Row],[Fecha]])</f>
        <v>2020</v>
      </c>
      <c r="J424" t="str">
        <f>TEXT(tbl_dashboard_ejm[[#This Row],[Fecha]],"MMMM")</f>
        <v>mayo</v>
      </c>
      <c r="K424">
        <f>WEEKNUM(tbl_dashboard_ejm[[#This Row],[Fecha]],2)</f>
        <v>22</v>
      </c>
    </row>
    <row r="425" spans="2:11" x14ac:dyDescent="0.3">
      <c r="B425" s="67">
        <v>43982</v>
      </c>
      <c r="C425" t="s">
        <v>171</v>
      </c>
      <c r="D425" t="s">
        <v>165</v>
      </c>
      <c r="E425" t="s">
        <v>166</v>
      </c>
      <c r="F425" t="s">
        <v>163</v>
      </c>
      <c r="G425" s="82">
        <v>2857</v>
      </c>
      <c r="H425" s="82">
        <v>542.83000000000004</v>
      </c>
      <c r="I425">
        <f>YEAR(tbl_dashboard_ejm[[#This Row],[Fecha]])</f>
        <v>2020</v>
      </c>
      <c r="J425" t="str">
        <f>TEXT(tbl_dashboard_ejm[[#This Row],[Fecha]],"MMMM")</f>
        <v>mayo</v>
      </c>
      <c r="K425">
        <f>WEEKNUM(tbl_dashboard_ejm[[#This Row],[Fecha]],2)</f>
        <v>22</v>
      </c>
    </row>
    <row r="426" spans="2:11" x14ac:dyDescent="0.3">
      <c r="B426" s="67">
        <v>43982</v>
      </c>
      <c r="C426" t="s">
        <v>172</v>
      </c>
      <c r="D426" t="s">
        <v>165</v>
      </c>
      <c r="E426" t="s">
        <v>166</v>
      </c>
      <c r="F426" t="s">
        <v>163</v>
      </c>
      <c r="G426" s="82">
        <v>9092</v>
      </c>
      <c r="H426" s="82">
        <v>3545.88</v>
      </c>
      <c r="I426">
        <f>YEAR(tbl_dashboard_ejm[[#This Row],[Fecha]])</f>
        <v>2020</v>
      </c>
      <c r="J426" t="str">
        <f>TEXT(tbl_dashboard_ejm[[#This Row],[Fecha]],"MMMM")</f>
        <v>mayo</v>
      </c>
      <c r="K426">
        <f>WEEKNUM(tbl_dashboard_ejm[[#This Row],[Fecha]],2)</f>
        <v>22</v>
      </c>
    </row>
    <row r="427" spans="2:11" x14ac:dyDescent="0.3">
      <c r="B427" s="67">
        <v>43981</v>
      </c>
      <c r="C427" t="s">
        <v>173</v>
      </c>
      <c r="D427" t="s">
        <v>161</v>
      </c>
      <c r="E427" t="s">
        <v>166</v>
      </c>
      <c r="F427" t="s">
        <v>169</v>
      </c>
      <c r="G427" s="82">
        <v>4101</v>
      </c>
      <c r="H427" s="82">
        <v>1435.35</v>
      </c>
      <c r="I427">
        <f>YEAR(tbl_dashboard_ejm[[#This Row],[Fecha]])</f>
        <v>2020</v>
      </c>
      <c r="J427" t="str">
        <f>TEXT(tbl_dashboard_ejm[[#This Row],[Fecha]],"MMMM")</f>
        <v>mayo</v>
      </c>
      <c r="K427">
        <f>WEEKNUM(tbl_dashboard_ejm[[#This Row],[Fecha]],2)</f>
        <v>22</v>
      </c>
    </row>
    <row r="428" spans="2:11" x14ac:dyDescent="0.3">
      <c r="B428" s="67">
        <v>43977</v>
      </c>
      <c r="C428" t="s">
        <v>174</v>
      </c>
      <c r="D428" t="s">
        <v>165</v>
      </c>
      <c r="E428" t="s">
        <v>166</v>
      </c>
      <c r="F428" t="s">
        <v>163</v>
      </c>
      <c r="G428" s="82">
        <v>7951</v>
      </c>
      <c r="H428" s="82">
        <v>2941.87</v>
      </c>
      <c r="I428">
        <f>YEAR(tbl_dashboard_ejm[[#This Row],[Fecha]])</f>
        <v>2020</v>
      </c>
      <c r="J428" t="str">
        <f>TEXT(tbl_dashboard_ejm[[#This Row],[Fecha]],"MMMM")</f>
        <v>mayo</v>
      </c>
      <c r="K428">
        <f>WEEKNUM(tbl_dashboard_ejm[[#This Row],[Fecha]],2)</f>
        <v>22</v>
      </c>
    </row>
    <row r="429" spans="2:11" x14ac:dyDescent="0.3">
      <c r="B429" s="67">
        <v>43976</v>
      </c>
      <c r="C429" t="s">
        <v>175</v>
      </c>
      <c r="D429" t="s">
        <v>168</v>
      </c>
      <c r="E429" t="s">
        <v>166</v>
      </c>
      <c r="F429" t="s">
        <v>169</v>
      </c>
      <c r="G429" s="82">
        <v>4621</v>
      </c>
      <c r="H429" s="82">
        <v>1155.25</v>
      </c>
      <c r="I429">
        <f>YEAR(tbl_dashboard_ejm[[#This Row],[Fecha]])</f>
        <v>2020</v>
      </c>
      <c r="J429" t="str">
        <f>TEXT(tbl_dashboard_ejm[[#This Row],[Fecha]],"MMMM")</f>
        <v>mayo</v>
      </c>
      <c r="K429">
        <f>WEEKNUM(tbl_dashboard_ejm[[#This Row],[Fecha]],2)</f>
        <v>22</v>
      </c>
    </row>
    <row r="430" spans="2:11" x14ac:dyDescent="0.3">
      <c r="B430" s="67">
        <v>43976</v>
      </c>
      <c r="C430" t="s">
        <v>176</v>
      </c>
      <c r="D430" t="s">
        <v>161</v>
      </c>
      <c r="E430" t="s">
        <v>166</v>
      </c>
      <c r="F430" t="s">
        <v>169</v>
      </c>
      <c r="G430" s="82">
        <v>6288</v>
      </c>
      <c r="H430" s="82">
        <v>2200.8000000000002</v>
      </c>
      <c r="I430">
        <f>YEAR(tbl_dashboard_ejm[[#This Row],[Fecha]])</f>
        <v>2020</v>
      </c>
      <c r="J430" t="str">
        <f>TEXT(tbl_dashboard_ejm[[#This Row],[Fecha]],"MMMM")</f>
        <v>mayo</v>
      </c>
      <c r="K430">
        <f>WEEKNUM(tbl_dashboard_ejm[[#This Row],[Fecha]],2)</f>
        <v>22</v>
      </c>
    </row>
    <row r="431" spans="2:11" x14ac:dyDescent="0.3">
      <c r="B431" s="67">
        <v>43976</v>
      </c>
      <c r="C431" t="s">
        <v>177</v>
      </c>
      <c r="D431" t="s">
        <v>165</v>
      </c>
      <c r="E431" t="s">
        <v>162</v>
      </c>
      <c r="F431" t="s">
        <v>169</v>
      </c>
      <c r="G431" s="82">
        <v>9693</v>
      </c>
      <c r="H431" s="82">
        <v>3004.83</v>
      </c>
      <c r="I431">
        <f>YEAR(tbl_dashboard_ejm[[#This Row],[Fecha]])</f>
        <v>2020</v>
      </c>
      <c r="J431" t="str">
        <f>TEXT(tbl_dashboard_ejm[[#This Row],[Fecha]],"MMMM")</f>
        <v>mayo</v>
      </c>
      <c r="K431">
        <f>WEEKNUM(tbl_dashboard_ejm[[#This Row],[Fecha]],2)</f>
        <v>22</v>
      </c>
    </row>
    <row r="432" spans="2:11" x14ac:dyDescent="0.3">
      <c r="B432" s="67">
        <v>43976</v>
      </c>
      <c r="C432" t="s">
        <v>178</v>
      </c>
      <c r="D432" t="s">
        <v>168</v>
      </c>
      <c r="E432" t="s">
        <v>162</v>
      </c>
      <c r="F432" t="s">
        <v>169</v>
      </c>
      <c r="G432" s="82">
        <v>9220</v>
      </c>
      <c r="H432" s="82">
        <v>2489.4</v>
      </c>
      <c r="I432">
        <f>YEAR(tbl_dashboard_ejm[[#This Row],[Fecha]])</f>
        <v>2020</v>
      </c>
      <c r="J432" t="str">
        <f>TEXT(tbl_dashboard_ejm[[#This Row],[Fecha]],"MMMM")</f>
        <v>mayo</v>
      </c>
      <c r="K432">
        <f>WEEKNUM(tbl_dashboard_ejm[[#This Row],[Fecha]],2)</f>
        <v>22</v>
      </c>
    </row>
    <row r="433" spans="2:11" x14ac:dyDescent="0.3">
      <c r="B433" s="67">
        <v>43975</v>
      </c>
      <c r="C433" t="s">
        <v>179</v>
      </c>
      <c r="D433" t="s">
        <v>168</v>
      </c>
      <c r="E433" t="s">
        <v>166</v>
      </c>
      <c r="F433" t="s">
        <v>169</v>
      </c>
      <c r="G433" s="82">
        <v>2309</v>
      </c>
      <c r="H433" s="82">
        <v>969.78</v>
      </c>
      <c r="I433">
        <f>YEAR(tbl_dashboard_ejm[[#This Row],[Fecha]])</f>
        <v>2020</v>
      </c>
      <c r="J433" t="str">
        <f>TEXT(tbl_dashboard_ejm[[#This Row],[Fecha]],"MMMM")</f>
        <v>mayo</v>
      </c>
      <c r="K433">
        <f>WEEKNUM(tbl_dashboard_ejm[[#This Row],[Fecha]],2)</f>
        <v>21</v>
      </c>
    </row>
    <row r="434" spans="2:11" x14ac:dyDescent="0.3">
      <c r="B434" s="67">
        <v>44012</v>
      </c>
      <c r="C434" t="s">
        <v>160</v>
      </c>
      <c r="D434" t="s">
        <v>165</v>
      </c>
      <c r="E434" t="s">
        <v>162</v>
      </c>
      <c r="F434" t="s">
        <v>163</v>
      </c>
      <c r="G434" s="82">
        <v>8311</v>
      </c>
      <c r="H434" s="82">
        <v>2327.08</v>
      </c>
      <c r="I434">
        <f>YEAR(tbl_dashboard_ejm[[#This Row],[Fecha]])</f>
        <v>2020</v>
      </c>
      <c r="J434" t="str">
        <f>TEXT(tbl_dashboard_ejm[[#This Row],[Fecha]],"MMMM")</f>
        <v>junio</v>
      </c>
      <c r="K434">
        <f>WEEKNUM(tbl_dashboard_ejm[[#This Row],[Fecha]],2)</f>
        <v>27</v>
      </c>
    </row>
    <row r="435" spans="2:11" x14ac:dyDescent="0.3">
      <c r="B435" s="67">
        <v>44012</v>
      </c>
      <c r="C435" t="s">
        <v>164</v>
      </c>
      <c r="D435" t="s">
        <v>165</v>
      </c>
      <c r="E435" t="s">
        <v>162</v>
      </c>
      <c r="F435" t="s">
        <v>163</v>
      </c>
      <c r="G435" s="82">
        <v>7846</v>
      </c>
      <c r="H435" s="82">
        <v>3295.32</v>
      </c>
      <c r="I435">
        <f>YEAR(tbl_dashboard_ejm[[#This Row],[Fecha]])</f>
        <v>2020</v>
      </c>
      <c r="J435" t="str">
        <f>TEXT(tbl_dashboard_ejm[[#This Row],[Fecha]],"MMMM")</f>
        <v>junio</v>
      </c>
      <c r="K435">
        <f>WEEKNUM(tbl_dashboard_ejm[[#This Row],[Fecha]],2)</f>
        <v>27</v>
      </c>
    </row>
    <row r="436" spans="2:11" x14ac:dyDescent="0.3">
      <c r="B436" s="67">
        <v>44012</v>
      </c>
      <c r="C436" t="s">
        <v>167</v>
      </c>
      <c r="D436" t="s">
        <v>165</v>
      </c>
      <c r="E436" t="s">
        <v>162</v>
      </c>
      <c r="F436" t="s">
        <v>169</v>
      </c>
      <c r="G436" s="82">
        <v>4241</v>
      </c>
      <c r="H436" s="82">
        <v>1484.35</v>
      </c>
      <c r="I436">
        <f>YEAR(tbl_dashboard_ejm[[#This Row],[Fecha]])</f>
        <v>2020</v>
      </c>
      <c r="J436" t="str">
        <f>TEXT(tbl_dashboard_ejm[[#This Row],[Fecha]],"MMMM")</f>
        <v>junio</v>
      </c>
      <c r="K436">
        <f>WEEKNUM(tbl_dashboard_ejm[[#This Row],[Fecha]],2)</f>
        <v>27</v>
      </c>
    </row>
    <row r="437" spans="2:11" x14ac:dyDescent="0.3">
      <c r="B437" s="67">
        <v>44012</v>
      </c>
      <c r="C437" t="s">
        <v>170</v>
      </c>
      <c r="D437" t="s">
        <v>161</v>
      </c>
      <c r="E437" t="s">
        <v>166</v>
      </c>
      <c r="F437" t="s">
        <v>169</v>
      </c>
      <c r="G437" s="82">
        <v>1981</v>
      </c>
      <c r="H437" s="82">
        <v>812.21</v>
      </c>
      <c r="I437">
        <f>YEAR(tbl_dashboard_ejm[[#This Row],[Fecha]])</f>
        <v>2020</v>
      </c>
      <c r="J437" t="str">
        <f>TEXT(tbl_dashboard_ejm[[#This Row],[Fecha]],"MMMM")</f>
        <v>junio</v>
      </c>
      <c r="K437">
        <f>WEEKNUM(tbl_dashboard_ejm[[#This Row],[Fecha]],2)</f>
        <v>27</v>
      </c>
    </row>
    <row r="438" spans="2:11" x14ac:dyDescent="0.3">
      <c r="B438" s="67">
        <v>44012</v>
      </c>
      <c r="C438" t="s">
        <v>171</v>
      </c>
      <c r="D438" t="s">
        <v>161</v>
      </c>
      <c r="E438" t="s">
        <v>162</v>
      </c>
      <c r="F438" t="s">
        <v>163</v>
      </c>
      <c r="G438" s="82">
        <v>3910</v>
      </c>
      <c r="H438" s="82">
        <v>1016.6</v>
      </c>
      <c r="I438">
        <f>YEAR(tbl_dashboard_ejm[[#This Row],[Fecha]])</f>
        <v>2020</v>
      </c>
      <c r="J438" t="str">
        <f>TEXT(tbl_dashboard_ejm[[#This Row],[Fecha]],"MMMM")</f>
        <v>junio</v>
      </c>
      <c r="K438">
        <f>WEEKNUM(tbl_dashboard_ejm[[#This Row],[Fecha]],2)</f>
        <v>27</v>
      </c>
    </row>
    <row r="439" spans="2:11" x14ac:dyDescent="0.3">
      <c r="B439" s="67">
        <v>44012</v>
      </c>
      <c r="C439" t="s">
        <v>172</v>
      </c>
      <c r="D439" t="s">
        <v>165</v>
      </c>
      <c r="E439" t="s">
        <v>162</v>
      </c>
      <c r="F439" t="s">
        <v>163</v>
      </c>
      <c r="G439" s="82">
        <v>2400</v>
      </c>
      <c r="H439" s="82">
        <v>360</v>
      </c>
      <c r="I439">
        <f>YEAR(tbl_dashboard_ejm[[#This Row],[Fecha]])</f>
        <v>2020</v>
      </c>
      <c r="J439" t="str">
        <f>TEXT(tbl_dashboard_ejm[[#This Row],[Fecha]],"MMMM")</f>
        <v>junio</v>
      </c>
      <c r="K439">
        <f>WEEKNUM(tbl_dashboard_ejm[[#This Row],[Fecha]],2)</f>
        <v>27</v>
      </c>
    </row>
    <row r="440" spans="2:11" x14ac:dyDescent="0.3">
      <c r="B440" s="67">
        <v>44012</v>
      </c>
      <c r="C440" t="s">
        <v>173</v>
      </c>
      <c r="D440" t="s">
        <v>168</v>
      </c>
      <c r="E440" t="s">
        <v>166</v>
      </c>
      <c r="F440" t="s">
        <v>169</v>
      </c>
      <c r="G440" s="82">
        <v>1269</v>
      </c>
      <c r="H440" s="82">
        <v>304.56</v>
      </c>
      <c r="I440">
        <f>YEAR(tbl_dashboard_ejm[[#This Row],[Fecha]])</f>
        <v>2020</v>
      </c>
      <c r="J440" t="str">
        <f>TEXT(tbl_dashboard_ejm[[#This Row],[Fecha]],"MMMM")</f>
        <v>junio</v>
      </c>
      <c r="K440">
        <f>WEEKNUM(tbl_dashboard_ejm[[#This Row],[Fecha]],2)</f>
        <v>27</v>
      </c>
    </row>
    <row r="441" spans="2:11" x14ac:dyDescent="0.3">
      <c r="B441" s="67">
        <v>44008</v>
      </c>
      <c r="C441" t="s">
        <v>174</v>
      </c>
      <c r="D441" t="s">
        <v>168</v>
      </c>
      <c r="E441" t="s">
        <v>162</v>
      </c>
      <c r="F441" t="s">
        <v>163</v>
      </c>
      <c r="G441" s="82">
        <v>11308</v>
      </c>
      <c r="H441" s="82">
        <v>2600.84</v>
      </c>
      <c r="I441">
        <f>YEAR(tbl_dashboard_ejm[[#This Row],[Fecha]])</f>
        <v>2020</v>
      </c>
      <c r="J441" t="str">
        <f>TEXT(tbl_dashboard_ejm[[#This Row],[Fecha]],"MMMM")</f>
        <v>junio</v>
      </c>
      <c r="K441">
        <f>WEEKNUM(tbl_dashboard_ejm[[#This Row],[Fecha]],2)</f>
        <v>26</v>
      </c>
    </row>
    <row r="442" spans="2:11" x14ac:dyDescent="0.3">
      <c r="B442" s="67">
        <v>44007</v>
      </c>
      <c r="C442" t="s">
        <v>175</v>
      </c>
      <c r="D442" t="s">
        <v>165</v>
      </c>
      <c r="E442" t="s">
        <v>166</v>
      </c>
      <c r="F442" t="s">
        <v>169</v>
      </c>
      <c r="G442" s="82">
        <v>7912</v>
      </c>
      <c r="H442" s="82">
        <v>3402.16</v>
      </c>
      <c r="I442">
        <f>YEAR(tbl_dashboard_ejm[[#This Row],[Fecha]])</f>
        <v>2020</v>
      </c>
      <c r="J442" t="str">
        <f>TEXT(tbl_dashboard_ejm[[#This Row],[Fecha]],"MMMM")</f>
        <v>junio</v>
      </c>
      <c r="K442">
        <f>WEEKNUM(tbl_dashboard_ejm[[#This Row],[Fecha]],2)</f>
        <v>26</v>
      </c>
    </row>
    <row r="443" spans="2:11" x14ac:dyDescent="0.3">
      <c r="B443" s="67">
        <v>44007</v>
      </c>
      <c r="C443" t="s">
        <v>176</v>
      </c>
      <c r="D443" t="s">
        <v>165</v>
      </c>
      <c r="E443" t="s">
        <v>166</v>
      </c>
      <c r="F443" t="s">
        <v>169</v>
      </c>
      <c r="G443" s="82">
        <v>6983</v>
      </c>
      <c r="H443" s="82">
        <v>1396.6</v>
      </c>
      <c r="I443">
        <f>YEAR(tbl_dashboard_ejm[[#This Row],[Fecha]])</f>
        <v>2020</v>
      </c>
      <c r="J443" t="str">
        <f>TEXT(tbl_dashboard_ejm[[#This Row],[Fecha]],"MMMM")</f>
        <v>junio</v>
      </c>
      <c r="K443">
        <f>WEEKNUM(tbl_dashboard_ejm[[#This Row],[Fecha]],2)</f>
        <v>26</v>
      </c>
    </row>
    <row r="444" spans="2:11" x14ac:dyDescent="0.3">
      <c r="B444" s="67">
        <v>44007</v>
      </c>
      <c r="C444" t="s">
        <v>177</v>
      </c>
      <c r="D444" t="s">
        <v>165</v>
      </c>
      <c r="E444" t="s">
        <v>166</v>
      </c>
      <c r="F444" t="s">
        <v>169</v>
      </c>
      <c r="G444" s="82">
        <v>7088</v>
      </c>
      <c r="H444" s="82">
        <v>3047.84</v>
      </c>
      <c r="I444">
        <f>YEAR(tbl_dashboard_ejm[[#This Row],[Fecha]])</f>
        <v>2020</v>
      </c>
      <c r="J444" t="str">
        <f>TEXT(tbl_dashboard_ejm[[#This Row],[Fecha]],"MMMM")</f>
        <v>junio</v>
      </c>
      <c r="K444">
        <f>WEEKNUM(tbl_dashboard_ejm[[#This Row],[Fecha]],2)</f>
        <v>26</v>
      </c>
    </row>
    <row r="445" spans="2:11" x14ac:dyDescent="0.3">
      <c r="B445" s="67">
        <v>44007</v>
      </c>
      <c r="C445" t="s">
        <v>178</v>
      </c>
      <c r="D445" t="s">
        <v>161</v>
      </c>
      <c r="E445" t="s">
        <v>162</v>
      </c>
      <c r="F445" t="s">
        <v>169</v>
      </c>
      <c r="G445" s="82">
        <v>9803</v>
      </c>
      <c r="H445" s="82">
        <v>3921.2</v>
      </c>
      <c r="I445">
        <f>YEAR(tbl_dashboard_ejm[[#This Row],[Fecha]])</f>
        <v>2020</v>
      </c>
      <c r="J445" t="str">
        <f>TEXT(tbl_dashboard_ejm[[#This Row],[Fecha]],"MMMM")</f>
        <v>junio</v>
      </c>
      <c r="K445">
        <f>WEEKNUM(tbl_dashboard_ejm[[#This Row],[Fecha]],2)</f>
        <v>26</v>
      </c>
    </row>
    <row r="446" spans="2:11" x14ac:dyDescent="0.3">
      <c r="B446" s="67">
        <v>44006</v>
      </c>
      <c r="C446" t="s">
        <v>179</v>
      </c>
      <c r="D446" t="s">
        <v>165</v>
      </c>
      <c r="E446" t="s">
        <v>166</v>
      </c>
      <c r="F446" t="s">
        <v>169</v>
      </c>
      <c r="G446" s="82">
        <v>2256</v>
      </c>
      <c r="H446" s="82">
        <v>518.88</v>
      </c>
      <c r="I446">
        <f>YEAR(tbl_dashboard_ejm[[#This Row],[Fecha]])</f>
        <v>2020</v>
      </c>
      <c r="J446" t="str">
        <f>TEXT(tbl_dashboard_ejm[[#This Row],[Fecha]],"MMMM")</f>
        <v>junio</v>
      </c>
      <c r="K446">
        <f>WEEKNUM(tbl_dashboard_ejm[[#This Row],[Fecha]],2)</f>
        <v>26</v>
      </c>
    </row>
    <row r="447" spans="2:11" x14ac:dyDescent="0.3">
      <c r="B447" s="67">
        <v>44006</v>
      </c>
      <c r="C447" t="s">
        <v>180</v>
      </c>
      <c r="D447" t="s">
        <v>165</v>
      </c>
      <c r="E447" t="s">
        <v>162</v>
      </c>
      <c r="F447" t="s">
        <v>163</v>
      </c>
      <c r="G447" s="82">
        <v>6339</v>
      </c>
      <c r="H447" s="82">
        <v>1965.09</v>
      </c>
      <c r="I447">
        <f>YEAR(tbl_dashboard_ejm[[#This Row],[Fecha]])</f>
        <v>2020</v>
      </c>
      <c r="J447" t="str">
        <f>TEXT(tbl_dashboard_ejm[[#This Row],[Fecha]],"MMMM")</f>
        <v>junio</v>
      </c>
      <c r="K447">
        <f>WEEKNUM(tbl_dashboard_ejm[[#This Row],[Fecha]],2)</f>
        <v>26</v>
      </c>
    </row>
    <row r="448" spans="2:11" x14ac:dyDescent="0.3">
      <c r="B448" s="67">
        <v>44006</v>
      </c>
      <c r="C448" t="s">
        <v>181</v>
      </c>
      <c r="D448" t="s">
        <v>168</v>
      </c>
      <c r="E448" t="s">
        <v>162</v>
      </c>
      <c r="F448" t="s">
        <v>163</v>
      </c>
      <c r="G448" s="82">
        <v>9282</v>
      </c>
      <c r="H448" s="82">
        <v>1485.12</v>
      </c>
      <c r="I448">
        <f>YEAR(tbl_dashboard_ejm[[#This Row],[Fecha]])</f>
        <v>2020</v>
      </c>
      <c r="J448" t="str">
        <f>TEXT(tbl_dashboard_ejm[[#This Row],[Fecha]],"MMMM")</f>
        <v>junio</v>
      </c>
      <c r="K448">
        <f>WEEKNUM(tbl_dashboard_ejm[[#This Row],[Fecha]],2)</f>
        <v>26</v>
      </c>
    </row>
    <row r="449" spans="2:11" x14ac:dyDescent="0.3">
      <c r="B449" s="67">
        <v>44043</v>
      </c>
      <c r="C449" t="s">
        <v>160</v>
      </c>
      <c r="D449" t="s">
        <v>165</v>
      </c>
      <c r="E449" t="s">
        <v>162</v>
      </c>
      <c r="F449" t="s">
        <v>169</v>
      </c>
      <c r="G449" s="82">
        <v>9405</v>
      </c>
      <c r="H449" s="82">
        <v>3291.75</v>
      </c>
      <c r="I449">
        <f>YEAR(tbl_dashboard_ejm[[#This Row],[Fecha]])</f>
        <v>2020</v>
      </c>
      <c r="J449" t="str">
        <f>TEXT(tbl_dashboard_ejm[[#This Row],[Fecha]],"MMMM")</f>
        <v>julio</v>
      </c>
      <c r="K449">
        <f>WEEKNUM(tbl_dashboard_ejm[[#This Row],[Fecha]],2)</f>
        <v>31</v>
      </c>
    </row>
    <row r="450" spans="2:11" x14ac:dyDescent="0.3">
      <c r="B450" s="67">
        <v>44043</v>
      </c>
      <c r="C450" t="s">
        <v>164</v>
      </c>
      <c r="D450" t="s">
        <v>161</v>
      </c>
      <c r="E450" t="s">
        <v>162</v>
      </c>
      <c r="F450" t="s">
        <v>169</v>
      </c>
      <c r="G450" s="82">
        <v>2132</v>
      </c>
      <c r="H450" s="82">
        <v>746.2</v>
      </c>
      <c r="I450">
        <f>YEAR(tbl_dashboard_ejm[[#This Row],[Fecha]])</f>
        <v>2020</v>
      </c>
      <c r="J450" t="str">
        <f>TEXT(tbl_dashboard_ejm[[#This Row],[Fecha]],"MMMM")</f>
        <v>julio</v>
      </c>
      <c r="K450">
        <f>WEEKNUM(tbl_dashboard_ejm[[#This Row],[Fecha]],2)</f>
        <v>31</v>
      </c>
    </row>
    <row r="451" spans="2:11" x14ac:dyDescent="0.3">
      <c r="B451" s="67">
        <v>44043</v>
      </c>
      <c r="C451" t="s">
        <v>167</v>
      </c>
      <c r="D451" t="s">
        <v>161</v>
      </c>
      <c r="E451" t="s">
        <v>166</v>
      </c>
      <c r="F451" t="s">
        <v>163</v>
      </c>
      <c r="G451" s="82">
        <v>2169</v>
      </c>
      <c r="H451" s="82">
        <v>759.15</v>
      </c>
      <c r="I451">
        <f>YEAR(tbl_dashboard_ejm[[#This Row],[Fecha]])</f>
        <v>2020</v>
      </c>
      <c r="J451" t="str">
        <f>TEXT(tbl_dashboard_ejm[[#This Row],[Fecha]],"MMMM")</f>
        <v>julio</v>
      </c>
      <c r="K451">
        <f>WEEKNUM(tbl_dashboard_ejm[[#This Row],[Fecha]],2)</f>
        <v>31</v>
      </c>
    </row>
    <row r="452" spans="2:11" x14ac:dyDescent="0.3">
      <c r="B452" s="67">
        <v>44043</v>
      </c>
      <c r="C452" t="s">
        <v>170</v>
      </c>
      <c r="D452" t="s">
        <v>161</v>
      </c>
      <c r="E452" t="s">
        <v>162</v>
      </c>
      <c r="F452" t="s">
        <v>163</v>
      </c>
      <c r="G452" s="82">
        <v>4280</v>
      </c>
      <c r="H452" s="82">
        <v>642</v>
      </c>
      <c r="I452">
        <f>YEAR(tbl_dashboard_ejm[[#This Row],[Fecha]])</f>
        <v>2020</v>
      </c>
      <c r="J452" t="str">
        <f>TEXT(tbl_dashboard_ejm[[#This Row],[Fecha]],"MMMM")</f>
        <v>julio</v>
      </c>
      <c r="K452">
        <f>WEEKNUM(tbl_dashboard_ejm[[#This Row],[Fecha]],2)</f>
        <v>31</v>
      </c>
    </row>
    <row r="453" spans="2:11" x14ac:dyDescent="0.3">
      <c r="B453" s="67">
        <v>44042</v>
      </c>
      <c r="C453" t="s">
        <v>171</v>
      </c>
      <c r="D453" t="s">
        <v>168</v>
      </c>
      <c r="E453" t="s">
        <v>166</v>
      </c>
      <c r="F453" t="s">
        <v>169</v>
      </c>
      <c r="G453" s="82">
        <v>2224</v>
      </c>
      <c r="H453" s="82">
        <v>378.08</v>
      </c>
      <c r="I453">
        <f>YEAR(tbl_dashboard_ejm[[#This Row],[Fecha]])</f>
        <v>2020</v>
      </c>
      <c r="J453" t="str">
        <f>TEXT(tbl_dashboard_ejm[[#This Row],[Fecha]],"MMMM")</f>
        <v>julio</v>
      </c>
      <c r="K453">
        <f>WEEKNUM(tbl_dashboard_ejm[[#This Row],[Fecha]],2)</f>
        <v>31</v>
      </c>
    </row>
    <row r="454" spans="2:11" x14ac:dyDescent="0.3">
      <c r="B454" s="67">
        <v>44038</v>
      </c>
      <c r="C454" t="s">
        <v>172</v>
      </c>
      <c r="D454" t="s">
        <v>161</v>
      </c>
      <c r="E454" t="s">
        <v>166</v>
      </c>
      <c r="F454" t="s">
        <v>163</v>
      </c>
      <c r="G454" s="82">
        <v>2169</v>
      </c>
      <c r="H454" s="82">
        <v>433.8</v>
      </c>
      <c r="I454">
        <f>YEAR(tbl_dashboard_ejm[[#This Row],[Fecha]])</f>
        <v>2020</v>
      </c>
      <c r="J454" t="str">
        <f>TEXT(tbl_dashboard_ejm[[#This Row],[Fecha]],"MMMM")</f>
        <v>julio</v>
      </c>
      <c r="K454">
        <f>WEEKNUM(tbl_dashboard_ejm[[#This Row],[Fecha]],2)</f>
        <v>30</v>
      </c>
    </row>
    <row r="455" spans="2:11" x14ac:dyDescent="0.3">
      <c r="B455" s="67">
        <v>44037</v>
      </c>
      <c r="C455" t="s">
        <v>173</v>
      </c>
      <c r="D455" t="s">
        <v>161</v>
      </c>
      <c r="E455" t="s">
        <v>162</v>
      </c>
      <c r="F455" t="s">
        <v>169</v>
      </c>
      <c r="G455" s="82">
        <v>8720</v>
      </c>
      <c r="H455" s="82">
        <v>1569.6</v>
      </c>
      <c r="I455">
        <f>YEAR(tbl_dashboard_ejm[[#This Row],[Fecha]])</f>
        <v>2020</v>
      </c>
      <c r="J455" t="str">
        <f>TEXT(tbl_dashboard_ejm[[#This Row],[Fecha]],"MMMM")</f>
        <v>julio</v>
      </c>
      <c r="K455">
        <f>WEEKNUM(tbl_dashboard_ejm[[#This Row],[Fecha]],2)</f>
        <v>30</v>
      </c>
    </row>
    <row r="456" spans="2:11" x14ac:dyDescent="0.3">
      <c r="B456" s="67">
        <v>44037</v>
      </c>
      <c r="C456" t="s">
        <v>174</v>
      </c>
      <c r="D456" t="s">
        <v>168</v>
      </c>
      <c r="E456" t="s">
        <v>162</v>
      </c>
      <c r="F456" t="s">
        <v>169</v>
      </c>
      <c r="G456" s="82">
        <v>9393</v>
      </c>
      <c r="H456" s="82">
        <v>2442.1799999999998</v>
      </c>
      <c r="I456">
        <f>YEAR(tbl_dashboard_ejm[[#This Row],[Fecha]])</f>
        <v>2020</v>
      </c>
      <c r="J456" t="str">
        <f>TEXT(tbl_dashboard_ejm[[#This Row],[Fecha]],"MMMM")</f>
        <v>julio</v>
      </c>
      <c r="K456">
        <f>WEEKNUM(tbl_dashboard_ejm[[#This Row],[Fecha]],2)</f>
        <v>30</v>
      </c>
    </row>
    <row r="457" spans="2:11" x14ac:dyDescent="0.3">
      <c r="B457" s="67">
        <v>44037</v>
      </c>
      <c r="C457" t="s">
        <v>175</v>
      </c>
      <c r="D457" t="s">
        <v>161</v>
      </c>
      <c r="E457" t="s">
        <v>162</v>
      </c>
      <c r="F457" t="s">
        <v>169</v>
      </c>
      <c r="G457" s="82">
        <v>7576</v>
      </c>
      <c r="H457" s="82">
        <v>2803.12</v>
      </c>
      <c r="I457">
        <f>YEAR(tbl_dashboard_ejm[[#This Row],[Fecha]])</f>
        <v>2020</v>
      </c>
      <c r="J457" t="str">
        <f>TEXT(tbl_dashboard_ejm[[#This Row],[Fecha]],"MMMM")</f>
        <v>julio</v>
      </c>
      <c r="K457">
        <f>WEEKNUM(tbl_dashboard_ejm[[#This Row],[Fecha]],2)</f>
        <v>30</v>
      </c>
    </row>
    <row r="458" spans="2:11" x14ac:dyDescent="0.3">
      <c r="B458" s="67">
        <v>44037</v>
      </c>
      <c r="C458" t="s">
        <v>176</v>
      </c>
      <c r="D458" t="s">
        <v>168</v>
      </c>
      <c r="E458" t="s">
        <v>166</v>
      </c>
      <c r="F458" t="s">
        <v>169</v>
      </c>
      <c r="G458" s="82">
        <v>3557</v>
      </c>
      <c r="H458" s="82">
        <v>1138.24</v>
      </c>
      <c r="I458">
        <f>YEAR(tbl_dashboard_ejm[[#This Row],[Fecha]])</f>
        <v>2020</v>
      </c>
      <c r="J458" t="str">
        <f>TEXT(tbl_dashboard_ejm[[#This Row],[Fecha]],"MMMM")</f>
        <v>julio</v>
      </c>
      <c r="K458">
        <f>WEEKNUM(tbl_dashboard_ejm[[#This Row],[Fecha]],2)</f>
        <v>30</v>
      </c>
    </row>
    <row r="459" spans="2:11" x14ac:dyDescent="0.3">
      <c r="B459" s="67">
        <v>44036</v>
      </c>
      <c r="C459" t="s">
        <v>177</v>
      </c>
      <c r="D459" t="s">
        <v>168</v>
      </c>
      <c r="E459" t="s">
        <v>162</v>
      </c>
      <c r="F459" t="s">
        <v>169</v>
      </c>
      <c r="G459" s="82">
        <v>11855</v>
      </c>
      <c r="H459" s="82">
        <v>4623.45</v>
      </c>
      <c r="I459">
        <f>YEAR(tbl_dashboard_ejm[[#This Row],[Fecha]])</f>
        <v>2020</v>
      </c>
      <c r="J459" t="str">
        <f>TEXT(tbl_dashboard_ejm[[#This Row],[Fecha]],"MMMM")</f>
        <v>julio</v>
      </c>
      <c r="K459">
        <f>WEEKNUM(tbl_dashboard_ejm[[#This Row],[Fecha]],2)</f>
        <v>30</v>
      </c>
    </row>
    <row r="460" spans="2:11" x14ac:dyDescent="0.3">
      <c r="B460" s="67">
        <v>44042</v>
      </c>
      <c r="C460" t="s">
        <v>178</v>
      </c>
      <c r="D460" t="s">
        <v>168</v>
      </c>
      <c r="E460" t="s">
        <v>162</v>
      </c>
      <c r="F460" t="s">
        <v>163</v>
      </c>
      <c r="G460" s="82">
        <v>9193</v>
      </c>
      <c r="H460" s="82">
        <v>3677.2</v>
      </c>
      <c r="I460">
        <f>YEAR(tbl_dashboard_ejm[[#This Row],[Fecha]])</f>
        <v>2020</v>
      </c>
      <c r="J460" t="str">
        <f>TEXT(tbl_dashboard_ejm[[#This Row],[Fecha]],"MMMM")</f>
        <v>julio</v>
      </c>
      <c r="K460">
        <f>WEEKNUM(tbl_dashboard_ejm[[#This Row],[Fecha]],2)</f>
        <v>31</v>
      </c>
    </row>
    <row r="461" spans="2:11" x14ac:dyDescent="0.3">
      <c r="B461" s="67">
        <v>44042</v>
      </c>
      <c r="C461" t="s">
        <v>179</v>
      </c>
      <c r="D461" t="s">
        <v>168</v>
      </c>
      <c r="E461" t="s">
        <v>166</v>
      </c>
      <c r="F461" t="s">
        <v>163</v>
      </c>
      <c r="G461" s="82">
        <v>4358</v>
      </c>
      <c r="H461" s="82">
        <v>1612.46</v>
      </c>
      <c r="I461">
        <f>YEAR(tbl_dashboard_ejm[[#This Row],[Fecha]])</f>
        <v>2020</v>
      </c>
      <c r="J461" t="str">
        <f>TEXT(tbl_dashboard_ejm[[#This Row],[Fecha]],"MMMM")</f>
        <v>julio</v>
      </c>
      <c r="K461">
        <f>WEEKNUM(tbl_dashboard_ejm[[#This Row],[Fecha]],2)</f>
        <v>31</v>
      </c>
    </row>
    <row r="462" spans="2:11" x14ac:dyDescent="0.3">
      <c r="B462" s="67">
        <v>44042</v>
      </c>
      <c r="C462" t="s">
        <v>180</v>
      </c>
      <c r="D462" t="s">
        <v>165</v>
      </c>
      <c r="E462" t="s">
        <v>162</v>
      </c>
      <c r="F462" t="s">
        <v>169</v>
      </c>
      <c r="G462" s="82">
        <v>5418</v>
      </c>
      <c r="H462" s="82">
        <v>2113.02</v>
      </c>
      <c r="I462">
        <f>YEAR(tbl_dashboard_ejm[[#This Row],[Fecha]])</f>
        <v>2020</v>
      </c>
      <c r="J462" t="str">
        <f>TEXT(tbl_dashboard_ejm[[#This Row],[Fecha]],"MMMM")</f>
        <v>julio</v>
      </c>
      <c r="K462">
        <f>WEEKNUM(tbl_dashboard_ejm[[#This Row],[Fecha]],2)</f>
        <v>31</v>
      </c>
    </row>
    <row r="463" spans="2:11" x14ac:dyDescent="0.3">
      <c r="B463" s="67">
        <v>44042</v>
      </c>
      <c r="C463" t="s">
        <v>181</v>
      </c>
      <c r="D463" t="s">
        <v>168</v>
      </c>
      <c r="E463" t="s">
        <v>166</v>
      </c>
      <c r="F463" t="s">
        <v>169</v>
      </c>
      <c r="G463" s="82">
        <v>4975</v>
      </c>
      <c r="H463" s="82">
        <v>2189</v>
      </c>
      <c r="I463">
        <f>YEAR(tbl_dashboard_ejm[[#This Row],[Fecha]])</f>
        <v>2020</v>
      </c>
      <c r="J463" t="str">
        <f>TEXT(tbl_dashboard_ejm[[#This Row],[Fecha]],"MMMM")</f>
        <v>julio</v>
      </c>
      <c r="K463">
        <f>WEEKNUM(tbl_dashboard_ejm[[#This Row],[Fecha]],2)</f>
        <v>31</v>
      </c>
    </row>
    <row r="464" spans="2:11" x14ac:dyDescent="0.3">
      <c r="B464" s="67">
        <v>44042</v>
      </c>
      <c r="C464" t="s">
        <v>182</v>
      </c>
      <c r="D464" t="s">
        <v>161</v>
      </c>
      <c r="E464" t="s">
        <v>166</v>
      </c>
      <c r="F464" t="s">
        <v>163</v>
      </c>
      <c r="G464" s="82">
        <v>7984</v>
      </c>
      <c r="H464" s="82">
        <v>1916.16</v>
      </c>
      <c r="I464">
        <f>YEAR(tbl_dashboard_ejm[[#This Row],[Fecha]])</f>
        <v>2020</v>
      </c>
      <c r="J464" t="str">
        <f>TEXT(tbl_dashboard_ejm[[#This Row],[Fecha]],"MMMM")</f>
        <v>julio</v>
      </c>
      <c r="K464">
        <f>WEEKNUM(tbl_dashboard_ejm[[#This Row],[Fecha]],2)</f>
        <v>31</v>
      </c>
    </row>
    <row r="465" spans="2:11" x14ac:dyDescent="0.3">
      <c r="B465" s="67">
        <v>44042</v>
      </c>
      <c r="C465" t="s">
        <v>183</v>
      </c>
      <c r="D465" t="s">
        <v>165</v>
      </c>
      <c r="E465" t="s">
        <v>166</v>
      </c>
      <c r="F465" t="s">
        <v>163</v>
      </c>
      <c r="G465" s="82">
        <v>5881</v>
      </c>
      <c r="H465" s="82">
        <v>1176.2</v>
      </c>
      <c r="I465">
        <f>YEAR(tbl_dashboard_ejm[[#This Row],[Fecha]])</f>
        <v>2020</v>
      </c>
      <c r="J465" t="str">
        <f>TEXT(tbl_dashboard_ejm[[#This Row],[Fecha]],"MMMM")</f>
        <v>julio</v>
      </c>
      <c r="K465">
        <f>WEEKNUM(tbl_dashboard_ejm[[#This Row],[Fecha]],2)</f>
        <v>31</v>
      </c>
    </row>
    <row r="466" spans="2:11" x14ac:dyDescent="0.3">
      <c r="B466" s="67">
        <v>44042</v>
      </c>
      <c r="C466" t="s">
        <v>184</v>
      </c>
      <c r="D466" t="s">
        <v>168</v>
      </c>
      <c r="E466" t="s">
        <v>166</v>
      </c>
      <c r="F466" t="s">
        <v>169</v>
      </c>
      <c r="G466" s="82">
        <v>11332</v>
      </c>
      <c r="H466" s="82">
        <v>2379.7199999999998</v>
      </c>
      <c r="I466">
        <f>YEAR(tbl_dashboard_ejm[[#This Row],[Fecha]])</f>
        <v>2020</v>
      </c>
      <c r="J466" t="str">
        <f>TEXT(tbl_dashboard_ejm[[#This Row],[Fecha]],"MMMM")</f>
        <v>julio</v>
      </c>
      <c r="K466">
        <f>WEEKNUM(tbl_dashboard_ejm[[#This Row],[Fecha]],2)</f>
        <v>31</v>
      </c>
    </row>
    <row r="467" spans="2:11" x14ac:dyDescent="0.3">
      <c r="B467" s="67">
        <v>44038</v>
      </c>
      <c r="C467" t="s">
        <v>185</v>
      </c>
      <c r="D467" t="s">
        <v>165</v>
      </c>
      <c r="E467" t="s">
        <v>162</v>
      </c>
      <c r="F467" t="s">
        <v>163</v>
      </c>
      <c r="G467" s="82">
        <v>7763</v>
      </c>
      <c r="H467" s="82">
        <v>2872.31</v>
      </c>
      <c r="I467">
        <f>YEAR(tbl_dashboard_ejm[[#This Row],[Fecha]])</f>
        <v>2020</v>
      </c>
      <c r="J467" t="str">
        <f>TEXT(tbl_dashboard_ejm[[#This Row],[Fecha]],"MMMM")</f>
        <v>julio</v>
      </c>
      <c r="K467">
        <f>WEEKNUM(tbl_dashboard_ejm[[#This Row],[Fecha]],2)</f>
        <v>30</v>
      </c>
    </row>
    <row r="468" spans="2:11" x14ac:dyDescent="0.3">
      <c r="B468" s="67">
        <v>44037</v>
      </c>
      <c r="C468" t="s">
        <v>186</v>
      </c>
      <c r="D468" t="s">
        <v>165</v>
      </c>
      <c r="E468" t="s">
        <v>162</v>
      </c>
      <c r="F468" t="s">
        <v>169</v>
      </c>
      <c r="G468" s="82">
        <v>4228</v>
      </c>
      <c r="H468" s="82">
        <v>1479.8</v>
      </c>
      <c r="I468">
        <f>YEAR(tbl_dashboard_ejm[[#This Row],[Fecha]])</f>
        <v>2020</v>
      </c>
      <c r="J468" t="str">
        <f>TEXT(tbl_dashboard_ejm[[#This Row],[Fecha]],"MMMM")</f>
        <v>julio</v>
      </c>
      <c r="K468">
        <f>WEEKNUM(tbl_dashboard_ejm[[#This Row],[Fecha]],2)</f>
        <v>30</v>
      </c>
    </row>
    <row r="469" spans="2:11" x14ac:dyDescent="0.3">
      <c r="B469" s="67">
        <v>44037</v>
      </c>
      <c r="C469" t="s">
        <v>187</v>
      </c>
      <c r="D469" t="s">
        <v>165</v>
      </c>
      <c r="E469" t="s">
        <v>162</v>
      </c>
      <c r="F469" t="s">
        <v>169</v>
      </c>
      <c r="G469" s="82">
        <v>8075</v>
      </c>
      <c r="H469" s="82">
        <v>2261</v>
      </c>
      <c r="I469">
        <f>YEAR(tbl_dashboard_ejm[[#This Row],[Fecha]])</f>
        <v>2020</v>
      </c>
      <c r="J469" t="str">
        <f>TEXT(tbl_dashboard_ejm[[#This Row],[Fecha]],"MMMM")</f>
        <v>julio</v>
      </c>
      <c r="K469">
        <f>WEEKNUM(tbl_dashboard_ejm[[#This Row],[Fecha]],2)</f>
        <v>30</v>
      </c>
    </row>
    <row r="470" spans="2:11" x14ac:dyDescent="0.3">
      <c r="B470" s="67">
        <v>44037</v>
      </c>
      <c r="C470" t="s">
        <v>188</v>
      </c>
      <c r="D470" t="s">
        <v>161</v>
      </c>
      <c r="E470" t="s">
        <v>166</v>
      </c>
      <c r="F470" t="s">
        <v>169</v>
      </c>
      <c r="G470" s="82">
        <v>2275</v>
      </c>
      <c r="H470" s="82">
        <v>1001</v>
      </c>
      <c r="I470">
        <f>YEAR(tbl_dashboard_ejm[[#This Row],[Fecha]])</f>
        <v>2020</v>
      </c>
      <c r="J470" t="str">
        <f>TEXT(tbl_dashboard_ejm[[#This Row],[Fecha]],"MMMM")</f>
        <v>julio</v>
      </c>
      <c r="K470">
        <f>WEEKNUM(tbl_dashboard_ejm[[#This Row],[Fecha]],2)</f>
        <v>30</v>
      </c>
    </row>
    <row r="471" spans="2:11" x14ac:dyDescent="0.3">
      <c r="B471" s="67">
        <v>44037</v>
      </c>
      <c r="C471" t="s">
        <v>189</v>
      </c>
      <c r="D471" t="s">
        <v>165</v>
      </c>
      <c r="E471" t="s">
        <v>166</v>
      </c>
      <c r="F471" t="s">
        <v>169</v>
      </c>
      <c r="G471" s="82">
        <v>2809</v>
      </c>
      <c r="H471" s="82">
        <v>870.79</v>
      </c>
      <c r="I471">
        <f>YEAR(tbl_dashboard_ejm[[#This Row],[Fecha]])</f>
        <v>2020</v>
      </c>
      <c r="J471" t="str">
        <f>TEXT(tbl_dashboard_ejm[[#This Row],[Fecha]],"MMMM")</f>
        <v>julio</v>
      </c>
      <c r="K471">
        <f>WEEKNUM(tbl_dashboard_ejm[[#This Row],[Fecha]],2)</f>
        <v>30</v>
      </c>
    </row>
    <row r="472" spans="2:11" x14ac:dyDescent="0.3">
      <c r="B472" s="67">
        <v>44036</v>
      </c>
      <c r="C472" t="s">
        <v>190</v>
      </c>
      <c r="D472" t="s">
        <v>168</v>
      </c>
      <c r="E472" t="s">
        <v>162</v>
      </c>
      <c r="F472" t="s">
        <v>169</v>
      </c>
      <c r="G472" s="82">
        <v>2983</v>
      </c>
      <c r="H472" s="82">
        <v>447.45</v>
      </c>
      <c r="I472">
        <f>YEAR(tbl_dashboard_ejm[[#This Row],[Fecha]])</f>
        <v>2020</v>
      </c>
      <c r="J472" t="str">
        <f>TEXT(tbl_dashboard_ejm[[#This Row],[Fecha]],"MMMM")</f>
        <v>julio</v>
      </c>
      <c r="K472">
        <f>WEEKNUM(tbl_dashboard_ejm[[#This Row],[Fecha]],2)</f>
        <v>30</v>
      </c>
    </row>
    <row r="473" spans="2:11" x14ac:dyDescent="0.3">
      <c r="B473" s="67">
        <v>44036</v>
      </c>
      <c r="C473" t="s">
        <v>191</v>
      </c>
      <c r="D473" t="s">
        <v>161</v>
      </c>
      <c r="E473" t="s">
        <v>166</v>
      </c>
      <c r="F473" t="s">
        <v>163</v>
      </c>
      <c r="G473" s="82">
        <v>8778</v>
      </c>
      <c r="H473" s="82">
        <v>3598.98</v>
      </c>
      <c r="I473">
        <f>YEAR(tbl_dashboard_ejm[[#This Row],[Fecha]])</f>
        <v>2020</v>
      </c>
      <c r="J473" t="str">
        <f>TEXT(tbl_dashboard_ejm[[#This Row],[Fecha]],"MMMM")</f>
        <v>julio</v>
      </c>
      <c r="K473">
        <f>WEEKNUM(tbl_dashboard_ejm[[#This Row],[Fecha]],2)</f>
        <v>30</v>
      </c>
    </row>
    <row r="474" spans="2:11" x14ac:dyDescent="0.3">
      <c r="B474" s="67">
        <v>44036</v>
      </c>
      <c r="C474" t="s">
        <v>192</v>
      </c>
      <c r="D474" t="s">
        <v>165</v>
      </c>
      <c r="E474" t="s">
        <v>166</v>
      </c>
      <c r="F474" t="s">
        <v>163</v>
      </c>
      <c r="G474" s="82">
        <v>7452</v>
      </c>
      <c r="H474" s="82">
        <v>3204.36</v>
      </c>
      <c r="I474">
        <f>YEAR(tbl_dashboard_ejm[[#This Row],[Fecha]])</f>
        <v>2020</v>
      </c>
      <c r="J474" t="str">
        <f>TEXT(tbl_dashboard_ejm[[#This Row],[Fecha]],"MMMM")</f>
        <v>julio</v>
      </c>
      <c r="K474">
        <f>WEEKNUM(tbl_dashboard_ejm[[#This Row],[Fecha]],2)</f>
        <v>30</v>
      </c>
    </row>
    <row r="475" spans="2:11" x14ac:dyDescent="0.3">
      <c r="B475" s="67">
        <v>44074</v>
      </c>
      <c r="C475" t="s">
        <v>160</v>
      </c>
      <c r="D475" t="s">
        <v>165</v>
      </c>
      <c r="E475" t="s">
        <v>166</v>
      </c>
      <c r="F475" t="s">
        <v>169</v>
      </c>
      <c r="G475" s="82">
        <v>7151</v>
      </c>
      <c r="H475" s="82">
        <v>1287.18</v>
      </c>
      <c r="I475">
        <f>YEAR(tbl_dashboard_ejm[[#This Row],[Fecha]])</f>
        <v>2020</v>
      </c>
      <c r="J475" t="str">
        <f>TEXT(tbl_dashboard_ejm[[#This Row],[Fecha]],"MMMM")</f>
        <v>agosto</v>
      </c>
      <c r="K475">
        <f>WEEKNUM(tbl_dashboard_ejm[[#This Row],[Fecha]],2)</f>
        <v>36</v>
      </c>
    </row>
    <row r="476" spans="2:11" x14ac:dyDescent="0.3">
      <c r="B476" s="67">
        <v>44074</v>
      </c>
      <c r="C476" t="s">
        <v>164</v>
      </c>
      <c r="D476" t="s">
        <v>161</v>
      </c>
      <c r="E476" t="s">
        <v>162</v>
      </c>
      <c r="F476" t="s">
        <v>169</v>
      </c>
      <c r="G476" s="82">
        <v>7831</v>
      </c>
      <c r="H476" s="82">
        <v>1957.75</v>
      </c>
      <c r="I476">
        <f>YEAR(tbl_dashboard_ejm[[#This Row],[Fecha]])</f>
        <v>2020</v>
      </c>
      <c r="J476" t="str">
        <f>TEXT(tbl_dashboard_ejm[[#This Row],[Fecha]],"MMMM")</f>
        <v>agosto</v>
      </c>
      <c r="K476">
        <f>WEEKNUM(tbl_dashboard_ejm[[#This Row],[Fecha]],2)</f>
        <v>36</v>
      </c>
    </row>
    <row r="477" spans="2:11" x14ac:dyDescent="0.3">
      <c r="B477" s="67">
        <v>44074</v>
      </c>
      <c r="C477" t="s">
        <v>167</v>
      </c>
      <c r="D477" t="s">
        <v>165</v>
      </c>
      <c r="E477" t="s">
        <v>162</v>
      </c>
      <c r="F477" t="s">
        <v>163</v>
      </c>
      <c r="G477" s="82">
        <v>9738</v>
      </c>
      <c r="H477" s="82">
        <v>4187.34</v>
      </c>
      <c r="I477">
        <f>YEAR(tbl_dashboard_ejm[[#This Row],[Fecha]])</f>
        <v>2020</v>
      </c>
      <c r="J477" t="str">
        <f>TEXT(tbl_dashboard_ejm[[#This Row],[Fecha]],"MMMM")</f>
        <v>agosto</v>
      </c>
      <c r="K477">
        <f>WEEKNUM(tbl_dashboard_ejm[[#This Row],[Fecha]],2)</f>
        <v>36</v>
      </c>
    </row>
    <row r="478" spans="2:11" x14ac:dyDescent="0.3">
      <c r="B478" s="67">
        <v>44074</v>
      </c>
      <c r="C478" t="s">
        <v>170</v>
      </c>
      <c r="D478" t="s">
        <v>168</v>
      </c>
      <c r="E478" t="s">
        <v>162</v>
      </c>
      <c r="F478" t="s">
        <v>163</v>
      </c>
      <c r="G478" s="82">
        <v>7514</v>
      </c>
      <c r="H478" s="82">
        <v>2329.34</v>
      </c>
      <c r="I478">
        <f>YEAR(tbl_dashboard_ejm[[#This Row],[Fecha]])</f>
        <v>2020</v>
      </c>
      <c r="J478" t="str">
        <f>TEXT(tbl_dashboard_ejm[[#This Row],[Fecha]],"MMMM")</f>
        <v>agosto</v>
      </c>
      <c r="K478">
        <f>WEEKNUM(tbl_dashboard_ejm[[#This Row],[Fecha]],2)</f>
        <v>36</v>
      </c>
    </row>
    <row r="479" spans="2:11" x14ac:dyDescent="0.3">
      <c r="B479" s="67">
        <v>44073</v>
      </c>
      <c r="C479" t="s">
        <v>171</v>
      </c>
      <c r="D479" t="s">
        <v>161</v>
      </c>
      <c r="E479" t="s">
        <v>162</v>
      </c>
      <c r="F479" t="s">
        <v>169</v>
      </c>
      <c r="G479" s="82">
        <v>9953</v>
      </c>
      <c r="H479" s="82">
        <v>3782.14</v>
      </c>
      <c r="I479">
        <f>YEAR(tbl_dashboard_ejm[[#This Row],[Fecha]])</f>
        <v>2020</v>
      </c>
      <c r="J479" t="str">
        <f>TEXT(tbl_dashboard_ejm[[#This Row],[Fecha]],"MMMM")</f>
        <v>agosto</v>
      </c>
      <c r="K479">
        <f>WEEKNUM(tbl_dashboard_ejm[[#This Row],[Fecha]],2)</f>
        <v>35</v>
      </c>
    </row>
    <row r="480" spans="2:11" x14ac:dyDescent="0.3">
      <c r="B480" s="67">
        <v>44069</v>
      </c>
      <c r="C480" t="s">
        <v>172</v>
      </c>
      <c r="D480" t="s">
        <v>165</v>
      </c>
      <c r="E480" t="s">
        <v>162</v>
      </c>
      <c r="F480" t="s">
        <v>163</v>
      </c>
      <c r="G480" s="82">
        <v>9069</v>
      </c>
      <c r="H480" s="82">
        <v>2176.56</v>
      </c>
      <c r="I480">
        <f>YEAR(tbl_dashboard_ejm[[#This Row],[Fecha]])</f>
        <v>2020</v>
      </c>
      <c r="J480" t="str">
        <f>TEXT(tbl_dashboard_ejm[[#This Row],[Fecha]],"MMMM")</f>
        <v>agosto</v>
      </c>
      <c r="K480">
        <f>WEEKNUM(tbl_dashboard_ejm[[#This Row],[Fecha]],2)</f>
        <v>35</v>
      </c>
    </row>
    <row r="481" spans="2:11" x14ac:dyDescent="0.3">
      <c r="B481" s="67">
        <v>44068</v>
      </c>
      <c r="C481" t="s">
        <v>173</v>
      </c>
      <c r="D481" t="s">
        <v>168</v>
      </c>
      <c r="E481" t="s">
        <v>166</v>
      </c>
      <c r="F481" t="s">
        <v>169</v>
      </c>
      <c r="G481" s="82">
        <v>9853</v>
      </c>
      <c r="H481" s="82">
        <v>3547.08</v>
      </c>
      <c r="I481">
        <f>YEAR(tbl_dashboard_ejm[[#This Row],[Fecha]])</f>
        <v>2020</v>
      </c>
      <c r="J481" t="str">
        <f>TEXT(tbl_dashboard_ejm[[#This Row],[Fecha]],"MMMM")</f>
        <v>agosto</v>
      </c>
      <c r="K481">
        <f>WEEKNUM(tbl_dashboard_ejm[[#This Row],[Fecha]],2)</f>
        <v>35</v>
      </c>
    </row>
    <row r="482" spans="2:11" x14ac:dyDescent="0.3">
      <c r="B482" s="67">
        <v>44068</v>
      </c>
      <c r="C482" t="s">
        <v>174</v>
      </c>
      <c r="D482" t="s">
        <v>168</v>
      </c>
      <c r="E482" t="s">
        <v>166</v>
      </c>
      <c r="F482" t="s">
        <v>169</v>
      </c>
      <c r="G482" s="82">
        <v>7458</v>
      </c>
      <c r="H482" s="82">
        <v>2908.62</v>
      </c>
      <c r="I482">
        <f>YEAR(tbl_dashboard_ejm[[#This Row],[Fecha]])</f>
        <v>2020</v>
      </c>
      <c r="J482" t="str">
        <f>TEXT(tbl_dashboard_ejm[[#This Row],[Fecha]],"MMMM")</f>
        <v>agosto</v>
      </c>
      <c r="K482">
        <f>WEEKNUM(tbl_dashboard_ejm[[#This Row],[Fecha]],2)</f>
        <v>35</v>
      </c>
    </row>
    <row r="483" spans="2:11" x14ac:dyDescent="0.3">
      <c r="B483" s="67">
        <v>44068</v>
      </c>
      <c r="C483" t="s">
        <v>175</v>
      </c>
      <c r="D483" t="s">
        <v>165</v>
      </c>
      <c r="E483" t="s">
        <v>162</v>
      </c>
      <c r="F483" t="s">
        <v>169</v>
      </c>
      <c r="G483" s="82">
        <v>2936</v>
      </c>
      <c r="H483" s="82">
        <v>587.20000000000005</v>
      </c>
      <c r="I483">
        <f>YEAR(tbl_dashboard_ejm[[#This Row],[Fecha]])</f>
        <v>2020</v>
      </c>
      <c r="J483" t="str">
        <f>TEXT(tbl_dashboard_ejm[[#This Row],[Fecha]],"MMMM")</f>
        <v>agosto</v>
      </c>
      <c r="K483">
        <f>WEEKNUM(tbl_dashboard_ejm[[#This Row],[Fecha]],2)</f>
        <v>35</v>
      </c>
    </row>
    <row r="484" spans="2:11" x14ac:dyDescent="0.3">
      <c r="B484" s="67">
        <v>44068</v>
      </c>
      <c r="C484" t="s">
        <v>176</v>
      </c>
      <c r="D484" t="s">
        <v>165</v>
      </c>
      <c r="E484" t="s">
        <v>162</v>
      </c>
      <c r="F484" t="s">
        <v>169</v>
      </c>
      <c r="G484" s="82">
        <v>1247</v>
      </c>
      <c r="H484" s="82">
        <v>386.57</v>
      </c>
      <c r="I484">
        <f>YEAR(tbl_dashboard_ejm[[#This Row],[Fecha]])</f>
        <v>2020</v>
      </c>
      <c r="J484" t="str">
        <f>TEXT(tbl_dashboard_ejm[[#This Row],[Fecha]],"MMMM")</f>
        <v>agosto</v>
      </c>
      <c r="K484">
        <f>WEEKNUM(tbl_dashboard_ejm[[#This Row],[Fecha]],2)</f>
        <v>35</v>
      </c>
    </row>
    <row r="485" spans="2:11" x14ac:dyDescent="0.3">
      <c r="B485" s="67">
        <v>44067</v>
      </c>
      <c r="C485" t="s">
        <v>177</v>
      </c>
      <c r="D485" t="s">
        <v>165</v>
      </c>
      <c r="E485" t="s">
        <v>166</v>
      </c>
      <c r="F485" t="s">
        <v>169</v>
      </c>
      <c r="G485" s="82">
        <v>10288</v>
      </c>
      <c r="H485" s="82">
        <v>4423.84</v>
      </c>
      <c r="I485">
        <f>YEAR(tbl_dashboard_ejm[[#This Row],[Fecha]])</f>
        <v>2020</v>
      </c>
      <c r="J485" t="str">
        <f>TEXT(tbl_dashboard_ejm[[#This Row],[Fecha]],"MMMM")</f>
        <v>agosto</v>
      </c>
      <c r="K485">
        <f>WEEKNUM(tbl_dashboard_ejm[[#This Row],[Fecha]],2)</f>
        <v>35</v>
      </c>
    </row>
    <row r="486" spans="2:11" x14ac:dyDescent="0.3">
      <c r="B486" s="67">
        <v>44073</v>
      </c>
      <c r="C486" t="s">
        <v>178</v>
      </c>
      <c r="D486" t="s">
        <v>161</v>
      </c>
      <c r="E486" t="s">
        <v>166</v>
      </c>
      <c r="F486" t="s">
        <v>163</v>
      </c>
      <c r="G486" s="82">
        <v>5975</v>
      </c>
      <c r="H486" s="82">
        <v>1553.5</v>
      </c>
      <c r="I486">
        <f>YEAR(tbl_dashboard_ejm[[#This Row],[Fecha]])</f>
        <v>2020</v>
      </c>
      <c r="J486" t="str">
        <f>TEXT(tbl_dashboard_ejm[[#This Row],[Fecha]],"MMMM")</f>
        <v>agosto</v>
      </c>
      <c r="K486">
        <f>WEEKNUM(tbl_dashboard_ejm[[#This Row],[Fecha]],2)</f>
        <v>35</v>
      </c>
    </row>
    <row r="487" spans="2:11" x14ac:dyDescent="0.3">
      <c r="B487" s="67">
        <v>44073</v>
      </c>
      <c r="C487" t="s">
        <v>179</v>
      </c>
      <c r="D487" t="s">
        <v>161</v>
      </c>
      <c r="E487" t="s">
        <v>162</v>
      </c>
      <c r="F487" t="s">
        <v>163</v>
      </c>
      <c r="G487" s="82">
        <v>8159</v>
      </c>
      <c r="H487" s="82">
        <v>2692.47</v>
      </c>
      <c r="I487">
        <f>YEAR(tbl_dashboard_ejm[[#This Row],[Fecha]])</f>
        <v>2020</v>
      </c>
      <c r="J487" t="str">
        <f>TEXT(tbl_dashboard_ejm[[#This Row],[Fecha]],"MMMM")</f>
        <v>agosto</v>
      </c>
      <c r="K487">
        <f>WEEKNUM(tbl_dashboard_ejm[[#This Row],[Fecha]],2)</f>
        <v>35</v>
      </c>
    </row>
    <row r="488" spans="2:11" x14ac:dyDescent="0.3">
      <c r="B488" s="67">
        <v>44073</v>
      </c>
      <c r="C488" t="s">
        <v>180</v>
      </c>
      <c r="D488" t="s">
        <v>165</v>
      </c>
      <c r="E488" t="s">
        <v>162</v>
      </c>
      <c r="F488" t="s">
        <v>169</v>
      </c>
      <c r="G488" s="82">
        <v>3105</v>
      </c>
      <c r="H488" s="82">
        <v>993.6</v>
      </c>
      <c r="I488">
        <f>YEAR(tbl_dashboard_ejm[[#This Row],[Fecha]])</f>
        <v>2020</v>
      </c>
      <c r="J488" t="str">
        <f>TEXT(tbl_dashboard_ejm[[#This Row],[Fecha]],"MMMM")</f>
        <v>agosto</v>
      </c>
      <c r="K488">
        <f>WEEKNUM(tbl_dashboard_ejm[[#This Row],[Fecha]],2)</f>
        <v>35</v>
      </c>
    </row>
    <row r="489" spans="2:11" x14ac:dyDescent="0.3">
      <c r="B489" s="67">
        <v>44104</v>
      </c>
      <c r="C489" t="s">
        <v>160</v>
      </c>
      <c r="D489" t="s">
        <v>168</v>
      </c>
      <c r="E489" t="s">
        <v>166</v>
      </c>
      <c r="F489" t="s">
        <v>169</v>
      </c>
      <c r="G489" s="82">
        <v>2975</v>
      </c>
      <c r="H489" s="82">
        <v>654.5</v>
      </c>
      <c r="I489">
        <f>YEAR(tbl_dashboard_ejm[[#This Row],[Fecha]])</f>
        <v>2020</v>
      </c>
      <c r="J489" t="str">
        <f>TEXT(tbl_dashboard_ejm[[#This Row],[Fecha]],"MMMM")</f>
        <v>septiembre</v>
      </c>
      <c r="K489">
        <f>WEEKNUM(tbl_dashboard_ejm[[#This Row],[Fecha]],2)</f>
        <v>40</v>
      </c>
    </row>
    <row r="490" spans="2:11" x14ac:dyDescent="0.3">
      <c r="B490" s="67">
        <v>44104</v>
      </c>
      <c r="C490" t="s">
        <v>164</v>
      </c>
      <c r="D490" t="s">
        <v>168</v>
      </c>
      <c r="E490" t="s">
        <v>162</v>
      </c>
      <c r="F490" t="s">
        <v>163</v>
      </c>
      <c r="G490" s="82">
        <v>1909</v>
      </c>
      <c r="H490" s="82">
        <v>343.62</v>
      </c>
      <c r="I490">
        <f>YEAR(tbl_dashboard_ejm[[#This Row],[Fecha]])</f>
        <v>2020</v>
      </c>
      <c r="J490" t="str">
        <f>TEXT(tbl_dashboard_ejm[[#This Row],[Fecha]],"MMMM")</f>
        <v>septiembre</v>
      </c>
      <c r="K490">
        <f>WEEKNUM(tbl_dashboard_ejm[[#This Row],[Fecha]],2)</f>
        <v>40</v>
      </c>
    </row>
    <row r="491" spans="2:11" x14ac:dyDescent="0.3">
      <c r="B491" s="67">
        <v>44104</v>
      </c>
      <c r="C491" t="s">
        <v>167</v>
      </c>
      <c r="D491" t="s">
        <v>165</v>
      </c>
      <c r="E491" t="s">
        <v>162</v>
      </c>
      <c r="F491" t="s">
        <v>163</v>
      </c>
      <c r="G491" s="82">
        <v>4140</v>
      </c>
      <c r="H491" s="82">
        <v>952.2</v>
      </c>
      <c r="I491">
        <f>YEAR(tbl_dashboard_ejm[[#This Row],[Fecha]])</f>
        <v>2020</v>
      </c>
      <c r="J491" t="str">
        <f>TEXT(tbl_dashboard_ejm[[#This Row],[Fecha]],"MMMM")</f>
        <v>septiembre</v>
      </c>
      <c r="K491">
        <f>WEEKNUM(tbl_dashboard_ejm[[#This Row],[Fecha]],2)</f>
        <v>40</v>
      </c>
    </row>
    <row r="492" spans="2:11" x14ac:dyDescent="0.3">
      <c r="B492" s="67">
        <v>44104</v>
      </c>
      <c r="C492" t="s">
        <v>170</v>
      </c>
      <c r="D492" t="s">
        <v>165</v>
      </c>
      <c r="E492" t="s">
        <v>162</v>
      </c>
      <c r="F492" t="s">
        <v>169</v>
      </c>
      <c r="G492" s="82">
        <v>1769</v>
      </c>
      <c r="H492" s="82">
        <v>796.05</v>
      </c>
      <c r="I492">
        <f>YEAR(tbl_dashboard_ejm[[#This Row],[Fecha]])</f>
        <v>2020</v>
      </c>
      <c r="J492" t="str">
        <f>TEXT(tbl_dashboard_ejm[[#This Row],[Fecha]],"MMMM")</f>
        <v>septiembre</v>
      </c>
      <c r="K492">
        <f>WEEKNUM(tbl_dashboard_ejm[[#This Row],[Fecha]],2)</f>
        <v>40</v>
      </c>
    </row>
    <row r="493" spans="2:11" x14ac:dyDescent="0.3">
      <c r="B493" s="67">
        <v>44100</v>
      </c>
      <c r="C493" t="s">
        <v>171</v>
      </c>
      <c r="D493" t="s">
        <v>165</v>
      </c>
      <c r="E493" t="s">
        <v>166</v>
      </c>
      <c r="F493" t="s">
        <v>163</v>
      </c>
      <c r="G493" s="82">
        <v>1185</v>
      </c>
      <c r="H493" s="82">
        <v>201.45</v>
      </c>
      <c r="I493">
        <f>YEAR(tbl_dashboard_ejm[[#This Row],[Fecha]])</f>
        <v>2020</v>
      </c>
      <c r="J493" t="str">
        <f>TEXT(tbl_dashboard_ejm[[#This Row],[Fecha]],"MMMM")</f>
        <v>septiembre</v>
      </c>
      <c r="K493">
        <f>WEEKNUM(tbl_dashboard_ejm[[#This Row],[Fecha]],2)</f>
        <v>39</v>
      </c>
    </row>
    <row r="494" spans="2:11" x14ac:dyDescent="0.3">
      <c r="B494" s="67">
        <v>44099</v>
      </c>
      <c r="C494" t="s">
        <v>172</v>
      </c>
      <c r="D494" t="s">
        <v>161</v>
      </c>
      <c r="E494" t="s">
        <v>166</v>
      </c>
      <c r="F494" t="s">
        <v>169</v>
      </c>
      <c r="G494" s="82">
        <v>1627</v>
      </c>
      <c r="H494" s="82">
        <v>276.58999999999997</v>
      </c>
      <c r="I494">
        <f>YEAR(tbl_dashboard_ejm[[#This Row],[Fecha]])</f>
        <v>2020</v>
      </c>
      <c r="J494" t="str">
        <f>TEXT(tbl_dashboard_ejm[[#This Row],[Fecha]],"MMMM")</f>
        <v>septiembre</v>
      </c>
      <c r="K494">
        <f>WEEKNUM(tbl_dashboard_ejm[[#This Row],[Fecha]],2)</f>
        <v>39</v>
      </c>
    </row>
    <row r="495" spans="2:11" x14ac:dyDescent="0.3">
      <c r="B495" s="67">
        <v>44099</v>
      </c>
      <c r="C495" t="s">
        <v>173</v>
      </c>
      <c r="D495" t="s">
        <v>165</v>
      </c>
      <c r="E495" t="s">
        <v>162</v>
      </c>
      <c r="F495" t="s">
        <v>169</v>
      </c>
      <c r="G495" s="82">
        <v>6235</v>
      </c>
      <c r="H495" s="82">
        <v>2369.3000000000002</v>
      </c>
      <c r="I495">
        <f>YEAR(tbl_dashboard_ejm[[#This Row],[Fecha]])</f>
        <v>2020</v>
      </c>
      <c r="J495" t="str">
        <f>TEXT(tbl_dashboard_ejm[[#This Row],[Fecha]],"MMMM")</f>
        <v>septiembre</v>
      </c>
      <c r="K495">
        <f>WEEKNUM(tbl_dashboard_ejm[[#This Row],[Fecha]],2)</f>
        <v>39</v>
      </c>
    </row>
    <row r="496" spans="2:11" x14ac:dyDescent="0.3">
      <c r="B496" s="67">
        <v>44099</v>
      </c>
      <c r="C496" t="s">
        <v>174</v>
      </c>
      <c r="D496" t="s">
        <v>165</v>
      </c>
      <c r="E496" t="s">
        <v>166</v>
      </c>
      <c r="F496" t="s">
        <v>169</v>
      </c>
      <c r="G496" s="82">
        <v>5577</v>
      </c>
      <c r="H496" s="82">
        <v>1394.25</v>
      </c>
      <c r="I496">
        <f>YEAR(tbl_dashboard_ejm[[#This Row],[Fecha]])</f>
        <v>2020</v>
      </c>
      <c r="J496" t="str">
        <f>TEXT(tbl_dashboard_ejm[[#This Row],[Fecha]],"MMMM")</f>
        <v>septiembre</v>
      </c>
      <c r="K496">
        <f>WEEKNUM(tbl_dashboard_ejm[[#This Row],[Fecha]],2)</f>
        <v>39</v>
      </c>
    </row>
    <row r="497" spans="2:11" x14ac:dyDescent="0.3">
      <c r="B497" s="67">
        <v>44099</v>
      </c>
      <c r="C497" t="s">
        <v>175</v>
      </c>
      <c r="D497" t="s">
        <v>168</v>
      </c>
      <c r="E497" t="s">
        <v>166</v>
      </c>
      <c r="F497" t="s">
        <v>169</v>
      </c>
      <c r="G497" s="82">
        <v>8536</v>
      </c>
      <c r="H497" s="82">
        <v>2646.16</v>
      </c>
      <c r="I497">
        <f>YEAR(tbl_dashboard_ejm[[#This Row],[Fecha]])</f>
        <v>2020</v>
      </c>
      <c r="J497" t="str">
        <f>TEXT(tbl_dashboard_ejm[[#This Row],[Fecha]],"MMMM")</f>
        <v>septiembre</v>
      </c>
      <c r="K497">
        <f>WEEKNUM(tbl_dashboard_ejm[[#This Row],[Fecha]],2)</f>
        <v>39</v>
      </c>
    </row>
    <row r="498" spans="2:11" x14ac:dyDescent="0.3">
      <c r="B498" s="67">
        <v>44098</v>
      </c>
      <c r="C498" t="s">
        <v>176</v>
      </c>
      <c r="D498" t="s">
        <v>165</v>
      </c>
      <c r="E498" t="s">
        <v>162</v>
      </c>
      <c r="F498" t="s">
        <v>169</v>
      </c>
      <c r="G498" s="82">
        <v>1061</v>
      </c>
      <c r="H498" s="82">
        <v>212.2</v>
      </c>
      <c r="I498">
        <f>YEAR(tbl_dashboard_ejm[[#This Row],[Fecha]])</f>
        <v>2020</v>
      </c>
      <c r="J498" t="str">
        <f>TEXT(tbl_dashboard_ejm[[#This Row],[Fecha]],"MMMM")</f>
        <v>septiembre</v>
      </c>
      <c r="K498">
        <f>WEEKNUM(tbl_dashboard_ejm[[#This Row],[Fecha]],2)</f>
        <v>39</v>
      </c>
    </row>
    <row r="499" spans="2:11" x14ac:dyDescent="0.3">
      <c r="B499" s="67">
        <v>44098</v>
      </c>
      <c r="C499" t="s">
        <v>177</v>
      </c>
      <c r="D499" t="s">
        <v>161</v>
      </c>
      <c r="E499" t="s">
        <v>162</v>
      </c>
      <c r="F499" t="s">
        <v>163</v>
      </c>
      <c r="G499" s="82">
        <v>11184</v>
      </c>
      <c r="H499" s="82">
        <v>4249.92</v>
      </c>
      <c r="I499">
        <f>YEAR(tbl_dashboard_ejm[[#This Row],[Fecha]])</f>
        <v>2020</v>
      </c>
      <c r="J499" t="str">
        <f>TEXT(tbl_dashboard_ejm[[#This Row],[Fecha]],"MMMM")</f>
        <v>septiembre</v>
      </c>
      <c r="K499">
        <f>WEEKNUM(tbl_dashboard_ejm[[#This Row],[Fecha]],2)</f>
        <v>39</v>
      </c>
    </row>
    <row r="500" spans="2:11" x14ac:dyDescent="0.3">
      <c r="B500" s="67">
        <v>44098</v>
      </c>
      <c r="C500" t="s">
        <v>178</v>
      </c>
      <c r="D500" t="s">
        <v>161</v>
      </c>
      <c r="E500" t="s">
        <v>162</v>
      </c>
      <c r="F500" t="s">
        <v>163</v>
      </c>
      <c r="G500" s="82">
        <v>2461</v>
      </c>
      <c r="H500" s="82">
        <v>639.86</v>
      </c>
      <c r="I500">
        <f>YEAR(tbl_dashboard_ejm[[#This Row],[Fecha]])</f>
        <v>2020</v>
      </c>
      <c r="J500" t="str">
        <f>TEXT(tbl_dashboard_ejm[[#This Row],[Fecha]],"MMMM")</f>
        <v>septiembre</v>
      </c>
      <c r="K500">
        <f>WEEKNUM(tbl_dashboard_ejm[[#This Row],[Fecha]],2)</f>
        <v>39</v>
      </c>
    </row>
    <row r="501" spans="2:11" x14ac:dyDescent="0.3">
      <c r="B501" s="67">
        <v>44098</v>
      </c>
      <c r="C501" t="s">
        <v>179</v>
      </c>
      <c r="D501" t="s">
        <v>161</v>
      </c>
      <c r="E501" t="s">
        <v>162</v>
      </c>
      <c r="F501" t="s">
        <v>169</v>
      </c>
      <c r="G501" s="82">
        <v>8675</v>
      </c>
      <c r="H501" s="82">
        <v>3123</v>
      </c>
      <c r="I501">
        <f>YEAR(tbl_dashboard_ejm[[#This Row],[Fecha]])</f>
        <v>2020</v>
      </c>
      <c r="J501" t="str">
        <f>TEXT(tbl_dashboard_ejm[[#This Row],[Fecha]],"MMMM")</f>
        <v>septiembre</v>
      </c>
      <c r="K501">
        <f>WEEKNUM(tbl_dashboard_ejm[[#This Row],[Fecha]],2)</f>
        <v>39</v>
      </c>
    </row>
    <row r="502" spans="2:11" x14ac:dyDescent="0.3">
      <c r="B502" s="67">
        <v>44098</v>
      </c>
      <c r="C502" t="s">
        <v>180</v>
      </c>
      <c r="D502" t="s">
        <v>168</v>
      </c>
      <c r="E502" t="s">
        <v>162</v>
      </c>
      <c r="F502" t="s">
        <v>169</v>
      </c>
      <c r="G502" s="82">
        <v>3141</v>
      </c>
      <c r="H502" s="82">
        <v>1099.3499999999999</v>
      </c>
      <c r="I502">
        <f>YEAR(tbl_dashboard_ejm[[#This Row],[Fecha]])</f>
        <v>2020</v>
      </c>
      <c r="J502" t="str">
        <f>TEXT(tbl_dashboard_ejm[[#This Row],[Fecha]],"MMMM")</f>
        <v>septiembre</v>
      </c>
      <c r="K502">
        <f>WEEKNUM(tbl_dashboard_ejm[[#This Row],[Fecha]],2)</f>
        <v>39</v>
      </c>
    </row>
    <row r="503" spans="2:11" x14ac:dyDescent="0.3">
      <c r="B503" s="67">
        <v>44098</v>
      </c>
      <c r="C503" t="s">
        <v>181</v>
      </c>
      <c r="D503" t="s">
        <v>161</v>
      </c>
      <c r="E503" t="s">
        <v>166</v>
      </c>
      <c r="F503" t="s">
        <v>163</v>
      </c>
      <c r="G503" s="82">
        <v>11027</v>
      </c>
      <c r="H503" s="82">
        <v>3087.56</v>
      </c>
      <c r="I503">
        <f>YEAR(tbl_dashboard_ejm[[#This Row],[Fecha]])</f>
        <v>2020</v>
      </c>
      <c r="J503" t="str">
        <f>TEXT(tbl_dashboard_ejm[[#This Row],[Fecha]],"MMMM")</f>
        <v>septiembre</v>
      </c>
      <c r="K503">
        <f>WEEKNUM(tbl_dashboard_ejm[[#This Row],[Fecha]],2)</f>
        <v>39</v>
      </c>
    </row>
    <row r="504" spans="2:11" x14ac:dyDescent="0.3">
      <c r="B504" s="67">
        <v>44098</v>
      </c>
      <c r="C504" t="s">
        <v>182</v>
      </c>
      <c r="D504" t="s">
        <v>161</v>
      </c>
      <c r="E504" t="s">
        <v>162</v>
      </c>
      <c r="F504" t="s">
        <v>163</v>
      </c>
      <c r="G504" s="82">
        <v>6503</v>
      </c>
      <c r="H504" s="82">
        <v>2471.14</v>
      </c>
      <c r="I504">
        <f>YEAR(tbl_dashboard_ejm[[#This Row],[Fecha]])</f>
        <v>2020</v>
      </c>
      <c r="J504" t="str">
        <f>TEXT(tbl_dashboard_ejm[[#This Row],[Fecha]],"MMMM")</f>
        <v>septiembre</v>
      </c>
      <c r="K504">
        <f>WEEKNUM(tbl_dashboard_ejm[[#This Row],[Fecha]],2)</f>
        <v>39</v>
      </c>
    </row>
    <row r="505" spans="2:11" x14ac:dyDescent="0.3">
      <c r="B505" s="67">
        <v>44104</v>
      </c>
      <c r="C505" t="s">
        <v>183</v>
      </c>
      <c r="D505" t="s">
        <v>168</v>
      </c>
      <c r="E505" t="s">
        <v>166</v>
      </c>
      <c r="F505" t="s">
        <v>169</v>
      </c>
      <c r="G505" s="82">
        <v>2383</v>
      </c>
      <c r="H505" s="82">
        <v>929.37</v>
      </c>
      <c r="I505">
        <f>YEAR(tbl_dashboard_ejm[[#This Row],[Fecha]])</f>
        <v>2020</v>
      </c>
      <c r="J505" t="str">
        <f>TEXT(tbl_dashboard_ejm[[#This Row],[Fecha]],"MMMM")</f>
        <v>septiembre</v>
      </c>
      <c r="K505">
        <f>WEEKNUM(tbl_dashboard_ejm[[#This Row],[Fecha]],2)</f>
        <v>40</v>
      </c>
    </row>
    <row r="506" spans="2:11" x14ac:dyDescent="0.3">
      <c r="B506" s="67">
        <v>44100</v>
      </c>
      <c r="C506" t="s">
        <v>184</v>
      </c>
      <c r="D506" t="s">
        <v>161</v>
      </c>
      <c r="E506" t="s">
        <v>162</v>
      </c>
      <c r="F506" t="s">
        <v>163</v>
      </c>
      <c r="G506" s="82">
        <v>10496</v>
      </c>
      <c r="H506" s="82">
        <v>4618.24</v>
      </c>
      <c r="I506">
        <f>YEAR(tbl_dashboard_ejm[[#This Row],[Fecha]])</f>
        <v>2020</v>
      </c>
      <c r="J506" t="str">
        <f>TEXT(tbl_dashboard_ejm[[#This Row],[Fecha]],"MMMM")</f>
        <v>septiembre</v>
      </c>
      <c r="K506">
        <f>WEEKNUM(tbl_dashboard_ejm[[#This Row],[Fecha]],2)</f>
        <v>39</v>
      </c>
    </row>
    <row r="507" spans="2:11" x14ac:dyDescent="0.3">
      <c r="B507" s="67">
        <v>44099</v>
      </c>
      <c r="C507" t="s">
        <v>185</v>
      </c>
      <c r="D507" t="s">
        <v>168</v>
      </c>
      <c r="E507" t="s">
        <v>166</v>
      </c>
      <c r="F507" t="s">
        <v>169</v>
      </c>
      <c r="G507" s="82">
        <v>4314</v>
      </c>
      <c r="H507" s="82">
        <v>949.08</v>
      </c>
      <c r="I507">
        <f>YEAR(tbl_dashboard_ejm[[#This Row],[Fecha]])</f>
        <v>2020</v>
      </c>
      <c r="J507" t="str">
        <f>TEXT(tbl_dashboard_ejm[[#This Row],[Fecha]],"MMMM")</f>
        <v>septiembre</v>
      </c>
      <c r="K507">
        <f>WEEKNUM(tbl_dashboard_ejm[[#This Row],[Fecha]],2)</f>
        <v>39</v>
      </c>
    </row>
    <row r="508" spans="2:11" x14ac:dyDescent="0.3">
      <c r="B508" s="67">
        <v>44099</v>
      </c>
      <c r="C508" t="s">
        <v>186</v>
      </c>
      <c r="D508" t="s">
        <v>168</v>
      </c>
      <c r="E508" t="s">
        <v>162</v>
      </c>
      <c r="F508" t="s">
        <v>169</v>
      </c>
      <c r="G508" s="82">
        <v>8488</v>
      </c>
      <c r="H508" s="82">
        <v>2801.04</v>
      </c>
      <c r="I508">
        <f>YEAR(tbl_dashboard_ejm[[#This Row],[Fecha]])</f>
        <v>2020</v>
      </c>
      <c r="J508" t="str">
        <f>TEXT(tbl_dashboard_ejm[[#This Row],[Fecha]],"MMMM")</f>
        <v>septiembre</v>
      </c>
      <c r="K508">
        <f>WEEKNUM(tbl_dashboard_ejm[[#This Row],[Fecha]],2)</f>
        <v>39</v>
      </c>
    </row>
    <row r="509" spans="2:11" x14ac:dyDescent="0.3">
      <c r="B509" s="67">
        <v>44099</v>
      </c>
      <c r="C509" t="s">
        <v>187</v>
      </c>
      <c r="D509" t="s">
        <v>168</v>
      </c>
      <c r="E509" t="s">
        <v>166</v>
      </c>
      <c r="F509" t="s">
        <v>169</v>
      </c>
      <c r="G509" s="82">
        <v>4917</v>
      </c>
      <c r="H509" s="82">
        <v>983.4</v>
      </c>
      <c r="I509">
        <f>YEAR(tbl_dashboard_ejm[[#This Row],[Fecha]])</f>
        <v>2020</v>
      </c>
      <c r="J509" t="str">
        <f>TEXT(tbl_dashboard_ejm[[#This Row],[Fecha]],"MMMM")</f>
        <v>septiembre</v>
      </c>
      <c r="K509">
        <f>WEEKNUM(tbl_dashboard_ejm[[#This Row],[Fecha]],2)</f>
        <v>39</v>
      </c>
    </row>
    <row r="510" spans="2:11" x14ac:dyDescent="0.3">
      <c r="B510" s="67">
        <v>44099</v>
      </c>
      <c r="C510" t="s">
        <v>188</v>
      </c>
      <c r="D510" t="s">
        <v>168</v>
      </c>
      <c r="E510" t="s">
        <v>166</v>
      </c>
      <c r="F510" t="s">
        <v>169</v>
      </c>
      <c r="G510" s="82">
        <v>2201</v>
      </c>
      <c r="H510" s="82">
        <v>440.2</v>
      </c>
      <c r="I510">
        <f>YEAR(tbl_dashboard_ejm[[#This Row],[Fecha]])</f>
        <v>2020</v>
      </c>
      <c r="J510" t="str">
        <f>TEXT(tbl_dashboard_ejm[[#This Row],[Fecha]],"MMMM")</f>
        <v>septiembre</v>
      </c>
      <c r="K510">
        <f>WEEKNUM(tbl_dashboard_ejm[[#This Row],[Fecha]],2)</f>
        <v>39</v>
      </c>
    </row>
    <row r="511" spans="2:11" x14ac:dyDescent="0.3">
      <c r="B511" s="67">
        <v>44098</v>
      </c>
      <c r="C511" t="s">
        <v>189</v>
      </c>
      <c r="D511" t="s">
        <v>165</v>
      </c>
      <c r="E511" t="s">
        <v>162</v>
      </c>
      <c r="F511" t="s">
        <v>169</v>
      </c>
      <c r="G511" s="82">
        <v>6484</v>
      </c>
      <c r="H511" s="82">
        <v>2593.6</v>
      </c>
      <c r="I511">
        <f>YEAR(tbl_dashboard_ejm[[#This Row],[Fecha]])</f>
        <v>2020</v>
      </c>
      <c r="J511" t="str">
        <f>TEXT(tbl_dashboard_ejm[[#This Row],[Fecha]],"MMMM")</f>
        <v>septiembre</v>
      </c>
      <c r="K511">
        <f>WEEKNUM(tbl_dashboard_ejm[[#This Row],[Fecha]],2)</f>
        <v>39</v>
      </c>
    </row>
    <row r="512" spans="2:11" x14ac:dyDescent="0.3">
      <c r="B512" s="67">
        <v>44104</v>
      </c>
      <c r="C512" t="s">
        <v>190</v>
      </c>
      <c r="D512" t="s">
        <v>168</v>
      </c>
      <c r="E512" t="s">
        <v>162</v>
      </c>
      <c r="F512" t="s">
        <v>163</v>
      </c>
      <c r="G512" s="82">
        <v>2387</v>
      </c>
      <c r="H512" s="82">
        <v>501.27</v>
      </c>
      <c r="I512">
        <f>YEAR(tbl_dashboard_ejm[[#This Row],[Fecha]])</f>
        <v>2020</v>
      </c>
      <c r="J512" t="str">
        <f>TEXT(tbl_dashboard_ejm[[#This Row],[Fecha]],"MMMM")</f>
        <v>septiembre</v>
      </c>
      <c r="K512">
        <f>WEEKNUM(tbl_dashboard_ejm[[#This Row],[Fecha]],2)</f>
        <v>40</v>
      </c>
    </row>
    <row r="513" spans="2:11" x14ac:dyDescent="0.3">
      <c r="B513" s="67">
        <v>44104</v>
      </c>
      <c r="C513" t="s">
        <v>191</v>
      </c>
      <c r="D513" t="s">
        <v>161</v>
      </c>
      <c r="E513" t="s">
        <v>162</v>
      </c>
      <c r="F513" t="s">
        <v>163</v>
      </c>
      <c r="G513" s="82">
        <v>6037</v>
      </c>
      <c r="H513" s="82">
        <v>1207.4000000000001</v>
      </c>
      <c r="I513">
        <f>YEAR(tbl_dashboard_ejm[[#This Row],[Fecha]])</f>
        <v>2020</v>
      </c>
      <c r="J513" t="str">
        <f>TEXT(tbl_dashboard_ejm[[#This Row],[Fecha]],"MMMM")</f>
        <v>septiembre</v>
      </c>
      <c r="K513">
        <f>WEEKNUM(tbl_dashboard_ejm[[#This Row],[Fecha]],2)</f>
        <v>40</v>
      </c>
    </row>
    <row r="514" spans="2:11" x14ac:dyDescent="0.3">
      <c r="B514" s="67">
        <v>44104</v>
      </c>
      <c r="C514" t="s">
        <v>192</v>
      </c>
      <c r="D514" t="s">
        <v>165</v>
      </c>
      <c r="E514" t="s">
        <v>166</v>
      </c>
      <c r="F514" t="s">
        <v>169</v>
      </c>
      <c r="G514" s="82">
        <v>6224</v>
      </c>
      <c r="H514" s="82">
        <v>1804.96</v>
      </c>
      <c r="I514">
        <f>YEAR(tbl_dashboard_ejm[[#This Row],[Fecha]])</f>
        <v>2020</v>
      </c>
      <c r="J514" t="str">
        <f>TEXT(tbl_dashboard_ejm[[#This Row],[Fecha]],"MMMM")</f>
        <v>septiembre</v>
      </c>
      <c r="K514">
        <f>WEEKNUM(tbl_dashboard_ejm[[#This Row],[Fecha]],2)</f>
        <v>40</v>
      </c>
    </row>
    <row r="515" spans="2:11" x14ac:dyDescent="0.3">
      <c r="B515" s="67">
        <v>44104</v>
      </c>
      <c r="C515" t="s">
        <v>193</v>
      </c>
      <c r="D515" t="s">
        <v>168</v>
      </c>
      <c r="E515" t="s">
        <v>166</v>
      </c>
      <c r="F515" t="s">
        <v>169</v>
      </c>
      <c r="G515" s="82">
        <v>11361</v>
      </c>
      <c r="H515" s="82">
        <v>3521.91</v>
      </c>
      <c r="I515">
        <f>YEAR(tbl_dashboard_ejm[[#This Row],[Fecha]])</f>
        <v>2020</v>
      </c>
      <c r="J515" t="str">
        <f>TEXT(tbl_dashboard_ejm[[#This Row],[Fecha]],"MMMM")</f>
        <v>septiembre</v>
      </c>
      <c r="K515">
        <f>WEEKNUM(tbl_dashboard_ejm[[#This Row],[Fecha]],2)</f>
        <v>40</v>
      </c>
    </row>
    <row r="516" spans="2:11" x14ac:dyDescent="0.3">
      <c r="B516" s="67">
        <v>44104</v>
      </c>
      <c r="C516" t="s">
        <v>194</v>
      </c>
      <c r="D516" t="s">
        <v>165</v>
      </c>
      <c r="E516" t="s">
        <v>162</v>
      </c>
      <c r="F516" t="s">
        <v>163</v>
      </c>
      <c r="G516" s="82">
        <v>8199</v>
      </c>
      <c r="H516" s="82">
        <v>3443.58</v>
      </c>
      <c r="I516">
        <f>YEAR(tbl_dashboard_ejm[[#This Row],[Fecha]])</f>
        <v>2020</v>
      </c>
      <c r="J516" t="str">
        <f>TEXT(tbl_dashboard_ejm[[#This Row],[Fecha]],"MMMM")</f>
        <v>septiembre</v>
      </c>
      <c r="K516">
        <f>WEEKNUM(tbl_dashboard_ejm[[#This Row],[Fecha]],2)</f>
        <v>40</v>
      </c>
    </row>
    <row r="517" spans="2:11" x14ac:dyDescent="0.3">
      <c r="B517" s="67">
        <v>44104</v>
      </c>
      <c r="C517" t="s">
        <v>195</v>
      </c>
      <c r="D517" t="s">
        <v>165</v>
      </c>
      <c r="E517" t="s">
        <v>166</v>
      </c>
      <c r="F517" t="s">
        <v>163</v>
      </c>
      <c r="G517" s="82">
        <v>11812</v>
      </c>
      <c r="H517" s="82">
        <v>2126.16</v>
      </c>
      <c r="I517">
        <f>YEAR(tbl_dashboard_ejm[[#This Row],[Fecha]])</f>
        <v>2020</v>
      </c>
      <c r="J517" t="str">
        <f>TEXT(tbl_dashboard_ejm[[#This Row],[Fecha]],"MMMM")</f>
        <v>septiembre</v>
      </c>
      <c r="K517">
        <f>WEEKNUM(tbl_dashboard_ejm[[#This Row],[Fecha]],2)</f>
        <v>40</v>
      </c>
    </row>
    <row r="518" spans="2:11" x14ac:dyDescent="0.3">
      <c r="B518" s="67">
        <v>44104</v>
      </c>
      <c r="C518" t="s">
        <v>196</v>
      </c>
      <c r="D518" t="s">
        <v>165</v>
      </c>
      <c r="E518" t="s">
        <v>162</v>
      </c>
      <c r="F518" t="s">
        <v>169</v>
      </c>
      <c r="G518" s="82">
        <v>7902</v>
      </c>
      <c r="H518" s="82">
        <v>2686.68</v>
      </c>
      <c r="I518">
        <f>YEAR(tbl_dashboard_ejm[[#This Row],[Fecha]])</f>
        <v>2020</v>
      </c>
      <c r="J518" t="str">
        <f>TEXT(tbl_dashboard_ejm[[#This Row],[Fecha]],"MMMM")</f>
        <v>septiembre</v>
      </c>
      <c r="K518">
        <f>WEEKNUM(tbl_dashboard_ejm[[#This Row],[Fecha]],2)</f>
        <v>40</v>
      </c>
    </row>
    <row r="519" spans="2:11" x14ac:dyDescent="0.3">
      <c r="B519" s="67">
        <v>44130</v>
      </c>
      <c r="C519" t="s">
        <v>160</v>
      </c>
      <c r="D519" t="s">
        <v>161</v>
      </c>
      <c r="E519" t="s">
        <v>162</v>
      </c>
      <c r="F519" t="s">
        <v>163</v>
      </c>
      <c r="G519" s="82">
        <v>1856</v>
      </c>
      <c r="H519" s="82">
        <v>835.2</v>
      </c>
      <c r="I519">
        <f>YEAR(tbl_dashboard_ejm[[#This Row],[Fecha]])</f>
        <v>2020</v>
      </c>
      <c r="J519" t="str">
        <f>TEXT(tbl_dashboard_ejm[[#This Row],[Fecha]],"MMMM")</f>
        <v>octubre</v>
      </c>
      <c r="K519">
        <f>WEEKNUM(tbl_dashboard_ejm[[#This Row],[Fecha]],2)</f>
        <v>44</v>
      </c>
    </row>
    <row r="520" spans="2:11" x14ac:dyDescent="0.3">
      <c r="B520" s="67">
        <v>44129</v>
      </c>
      <c r="C520" t="s">
        <v>164</v>
      </c>
      <c r="D520" t="s">
        <v>165</v>
      </c>
      <c r="E520" t="s">
        <v>166</v>
      </c>
      <c r="F520" t="s">
        <v>169</v>
      </c>
      <c r="G520" s="82">
        <v>10509</v>
      </c>
      <c r="H520" s="82">
        <v>4518.87</v>
      </c>
      <c r="I520">
        <f>YEAR(tbl_dashboard_ejm[[#This Row],[Fecha]])</f>
        <v>2020</v>
      </c>
      <c r="J520" t="str">
        <f>TEXT(tbl_dashboard_ejm[[#This Row],[Fecha]],"MMMM")</f>
        <v>octubre</v>
      </c>
      <c r="K520">
        <f>WEEKNUM(tbl_dashboard_ejm[[#This Row],[Fecha]],2)</f>
        <v>43</v>
      </c>
    </row>
    <row r="521" spans="2:11" x14ac:dyDescent="0.3">
      <c r="B521" s="67">
        <v>44129</v>
      </c>
      <c r="C521" t="s">
        <v>167</v>
      </c>
      <c r="D521" t="s">
        <v>168</v>
      </c>
      <c r="E521" t="s">
        <v>162</v>
      </c>
      <c r="F521" t="s">
        <v>169</v>
      </c>
      <c r="G521" s="82">
        <v>3871</v>
      </c>
      <c r="H521" s="82">
        <v>851.62</v>
      </c>
      <c r="I521">
        <f>YEAR(tbl_dashboard_ejm[[#This Row],[Fecha]])</f>
        <v>2020</v>
      </c>
      <c r="J521" t="str">
        <f>TEXT(tbl_dashboard_ejm[[#This Row],[Fecha]],"MMMM")</f>
        <v>octubre</v>
      </c>
      <c r="K521">
        <f>WEEKNUM(tbl_dashboard_ejm[[#This Row],[Fecha]],2)</f>
        <v>43</v>
      </c>
    </row>
    <row r="522" spans="2:11" x14ac:dyDescent="0.3">
      <c r="B522" s="67">
        <v>44129</v>
      </c>
      <c r="C522" t="s">
        <v>170</v>
      </c>
      <c r="D522" t="s">
        <v>161</v>
      </c>
      <c r="E522" t="s">
        <v>166</v>
      </c>
      <c r="F522" t="s">
        <v>169</v>
      </c>
      <c r="G522" s="82">
        <v>8379</v>
      </c>
      <c r="H522" s="82">
        <v>3351.6</v>
      </c>
      <c r="I522">
        <f>YEAR(tbl_dashboard_ejm[[#This Row],[Fecha]])</f>
        <v>2020</v>
      </c>
      <c r="J522" t="str">
        <f>TEXT(tbl_dashboard_ejm[[#This Row],[Fecha]],"MMMM")</f>
        <v>octubre</v>
      </c>
      <c r="K522">
        <f>WEEKNUM(tbl_dashboard_ejm[[#This Row],[Fecha]],2)</f>
        <v>43</v>
      </c>
    </row>
    <row r="523" spans="2:11" x14ac:dyDescent="0.3">
      <c r="B523" s="67">
        <v>44129</v>
      </c>
      <c r="C523" t="s">
        <v>171</v>
      </c>
      <c r="D523" t="s">
        <v>165</v>
      </c>
      <c r="E523" t="s">
        <v>166</v>
      </c>
      <c r="F523" t="s">
        <v>169</v>
      </c>
      <c r="G523" s="82">
        <v>2883</v>
      </c>
      <c r="H523" s="82">
        <v>1124.3699999999999</v>
      </c>
      <c r="I523">
        <f>YEAR(tbl_dashboard_ejm[[#This Row],[Fecha]])</f>
        <v>2020</v>
      </c>
      <c r="J523" t="str">
        <f>TEXT(tbl_dashboard_ejm[[#This Row],[Fecha]],"MMMM")</f>
        <v>octubre</v>
      </c>
      <c r="K523">
        <f>WEEKNUM(tbl_dashboard_ejm[[#This Row],[Fecha]],2)</f>
        <v>43</v>
      </c>
    </row>
    <row r="524" spans="2:11" x14ac:dyDescent="0.3">
      <c r="B524" s="67">
        <v>44128</v>
      </c>
      <c r="C524" t="s">
        <v>172</v>
      </c>
      <c r="D524" t="s">
        <v>165</v>
      </c>
      <c r="E524" t="s">
        <v>166</v>
      </c>
      <c r="F524" t="s">
        <v>169</v>
      </c>
      <c r="G524" s="82">
        <v>4370</v>
      </c>
      <c r="H524" s="82">
        <v>1835.4</v>
      </c>
      <c r="I524">
        <f>YEAR(tbl_dashboard_ejm[[#This Row],[Fecha]])</f>
        <v>2020</v>
      </c>
      <c r="J524" t="str">
        <f>TEXT(tbl_dashboard_ejm[[#This Row],[Fecha]],"MMMM")</f>
        <v>octubre</v>
      </c>
      <c r="K524">
        <f>WEEKNUM(tbl_dashboard_ejm[[#This Row],[Fecha]],2)</f>
        <v>43</v>
      </c>
    </row>
    <row r="525" spans="2:11" x14ac:dyDescent="0.3">
      <c r="B525" s="67">
        <v>44135</v>
      </c>
      <c r="C525" t="s">
        <v>173</v>
      </c>
      <c r="D525" t="s">
        <v>161</v>
      </c>
      <c r="E525" t="s">
        <v>162</v>
      </c>
      <c r="F525" t="s">
        <v>163</v>
      </c>
      <c r="G525" s="82">
        <v>3059</v>
      </c>
      <c r="H525" s="82">
        <v>703.57</v>
      </c>
      <c r="I525">
        <f>YEAR(tbl_dashboard_ejm[[#This Row],[Fecha]])</f>
        <v>2020</v>
      </c>
      <c r="J525" t="str">
        <f>TEXT(tbl_dashboard_ejm[[#This Row],[Fecha]],"MMMM")</f>
        <v>octubre</v>
      </c>
      <c r="K525">
        <f>WEEKNUM(tbl_dashboard_ejm[[#This Row],[Fecha]],2)</f>
        <v>44</v>
      </c>
    </row>
    <row r="526" spans="2:11" x14ac:dyDescent="0.3">
      <c r="B526" s="67">
        <v>44135</v>
      </c>
      <c r="C526" t="s">
        <v>174</v>
      </c>
      <c r="D526" t="s">
        <v>165</v>
      </c>
      <c r="E526" t="s">
        <v>162</v>
      </c>
      <c r="F526" t="s">
        <v>163</v>
      </c>
      <c r="G526" s="82">
        <v>2967</v>
      </c>
      <c r="H526" s="82">
        <v>504.39</v>
      </c>
      <c r="I526">
        <f>YEAR(tbl_dashboard_ejm[[#This Row],[Fecha]])</f>
        <v>2020</v>
      </c>
      <c r="J526" t="str">
        <f>TEXT(tbl_dashboard_ejm[[#This Row],[Fecha]],"MMMM")</f>
        <v>octubre</v>
      </c>
      <c r="K526">
        <f>WEEKNUM(tbl_dashboard_ejm[[#This Row],[Fecha]],2)</f>
        <v>44</v>
      </c>
    </row>
    <row r="527" spans="2:11" x14ac:dyDescent="0.3">
      <c r="B527" s="67">
        <v>44135</v>
      </c>
      <c r="C527" t="s">
        <v>175</v>
      </c>
      <c r="D527" t="s">
        <v>168</v>
      </c>
      <c r="E527" t="s">
        <v>162</v>
      </c>
      <c r="F527" t="s">
        <v>169</v>
      </c>
      <c r="G527" s="82">
        <v>7081</v>
      </c>
      <c r="H527" s="82">
        <v>3115.64</v>
      </c>
      <c r="I527">
        <f>YEAR(tbl_dashboard_ejm[[#This Row],[Fecha]])</f>
        <v>2020</v>
      </c>
      <c r="J527" t="str">
        <f>TEXT(tbl_dashboard_ejm[[#This Row],[Fecha]],"MMMM")</f>
        <v>octubre</v>
      </c>
      <c r="K527">
        <f>WEEKNUM(tbl_dashboard_ejm[[#This Row],[Fecha]],2)</f>
        <v>44</v>
      </c>
    </row>
    <row r="528" spans="2:11" x14ac:dyDescent="0.3">
      <c r="B528" s="67">
        <v>44135</v>
      </c>
      <c r="C528" t="s">
        <v>176</v>
      </c>
      <c r="D528" t="s">
        <v>161</v>
      </c>
      <c r="E528" t="s">
        <v>166</v>
      </c>
      <c r="F528" t="s">
        <v>169</v>
      </c>
      <c r="G528" s="82">
        <v>7512</v>
      </c>
      <c r="H528" s="82">
        <v>3155.04</v>
      </c>
      <c r="I528">
        <f>YEAR(tbl_dashboard_ejm[[#This Row],[Fecha]])</f>
        <v>2020</v>
      </c>
      <c r="J528" t="str">
        <f>TEXT(tbl_dashboard_ejm[[#This Row],[Fecha]],"MMMM")</f>
        <v>octubre</v>
      </c>
      <c r="K528">
        <f>WEEKNUM(tbl_dashboard_ejm[[#This Row],[Fecha]],2)</f>
        <v>44</v>
      </c>
    </row>
    <row r="529" spans="2:11" x14ac:dyDescent="0.3">
      <c r="B529" s="67">
        <v>44135</v>
      </c>
      <c r="C529" t="s">
        <v>177</v>
      </c>
      <c r="D529" t="s">
        <v>165</v>
      </c>
      <c r="E529" t="s">
        <v>162</v>
      </c>
      <c r="F529" t="s">
        <v>163</v>
      </c>
      <c r="G529" s="82">
        <v>2330</v>
      </c>
      <c r="H529" s="82">
        <v>559.20000000000005</v>
      </c>
      <c r="I529">
        <f>YEAR(tbl_dashboard_ejm[[#This Row],[Fecha]])</f>
        <v>2020</v>
      </c>
      <c r="J529" t="str">
        <f>TEXT(tbl_dashboard_ejm[[#This Row],[Fecha]],"MMMM")</f>
        <v>octubre</v>
      </c>
      <c r="K529">
        <f>WEEKNUM(tbl_dashboard_ejm[[#This Row],[Fecha]],2)</f>
        <v>44</v>
      </c>
    </row>
    <row r="530" spans="2:11" x14ac:dyDescent="0.3">
      <c r="B530" s="67">
        <v>44135</v>
      </c>
      <c r="C530" t="s">
        <v>178</v>
      </c>
      <c r="D530" t="s">
        <v>168</v>
      </c>
      <c r="E530" t="s">
        <v>166</v>
      </c>
      <c r="F530" t="s">
        <v>163</v>
      </c>
      <c r="G530" s="82">
        <v>7403</v>
      </c>
      <c r="H530" s="82">
        <v>1850.75</v>
      </c>
      <c r="I530">
        <f>YEAR(tbl_dashboard_ejm[[#This Row],[Fecha]])</f>
        <v>2020</v>
      </c>
      <c r="J530" t="str">
        <f>TEXT(tbl_dashboard_ejm[[#This Row],[Fecha]],"MMMM")</f>
        <v>octubre</v>
      </c>
      <c r="K530">
        <f>WEEKNUM(tbl_dashboard_ejm[[#This Row],[Fecha]],2)</f>
        <v>44</v>
      </c>
    </row>
    <row r="531" spans="2:11" x14ac:dyDescent="0.3">
      <c r="B531" s="67">
        <v>44134</v>
      </c>
      <c r="C531" t="s">
        <v>179</v>
      </c>
      <c r="D531" t="s">
        <v>168</v>
      </c>
      <c r="E531" t="s">
        <v>166</v>
      </c>
      <c r="F531" t="s">
        <v>169</v>
      </c>
      <c r="G531" s="82">
        <v>9547</v>
      </c>
      <c r="H531" s="82">
        <v>4105.21</v>
      </c>
      <c r="I531">
        <f>YEAR(tbl_dashboard_ejm[[#This Row],[Fecha]])</f>
        <v>2020</v>
      </c>
      <c r="J531" t="str">
        <f>TEXT(tbl_dashboard_ejm[[#This Row],[Fecha]],"MMMM")</f>
        <v>octubre</v>
      </c>
      <c r="K531">
        <f>WEEKNUM(tbl_dashboard_ejm[[#This Row],[Fecha]],2)</f>
        <v>44</v>
      </c>
    </row>
    <row r="532" spans="2:11" x14ac:dyDescent="0.3">
      <c r="B532" s="67">
        <v>44130</v>
      </c>
      <c r="C532" t="s">
        <v>180</v>
      </c>
      <c r="D532" t="s">
        <v>165</v>
      </c>
      <c r="E532" t="s">
        <v>166</v>
      </c>
      <c r="F532" t="s">
        <v>163</v>
      </c>
      <c r="G532" s="82">
        <v>1126</v>
      </c>
      <c r="H532" s="82">
        <v>236.46</v>
      </c>
      <c r="I532">
        <f>YEAR(tbl_dashboard_ejm[[#This Row],[Fecha]])</f>
        <v>2020</v>
      </c>
      <c r="J532" t="str">
        <f>TEXT(tbl_dashboard_ejm[[#This Row],[Fecha]],"MMMM")</f>
        <v>octubre</v>
      </c>
      <c r="K532">
        <f>WEEKNUM(tbl_dashboard_ejm[[#This Row],[Fecha]],2)</f>
        <v>44</v>
      </c>
    </row>
    <row r="533" spans="2:11" x14ac:dyDescent="0.3">
      <c r="B533" s="67">
        <v>44129</v>
      </c>
      <c r="C533" t="s">
        <v>181</v>
      </c>
      <c r="D533" t="s">
        <v>165</v>
      </c>
      <c r="E533" t="s">
        <v>166</v>
      </c>
      <c r="F533" t="s">
        <v>169</v>
      </c>
      <c r="G533" s="82">
        <v>4869</v>
      </c>
      <c r="H533" s="82">
        <v>1558.08</v>
      </c>
      <c r="I533">
        <f>YEAR(tbl_dashboard_ejm[[#This Row],[Fecha]])</f>
        <v>2020</v>
      </c>
      <c r="J533" t="str">
        <f>TEXT(tbl_dashboard_ejm[[#This Row],[Fecha]],"MMMM")</f>
        <v>octubre</v>
      </c>
      <c r="K533">
        <f>WEEKNUM(tbl_dashboard_ejm[[#This Row],[Fecha]],2)</f>
        <v>43</v>
      </c>
    </row>
    <row r="534" spans="2:11" x14ac:dyDescent="0.3">
      <c r="B534" s="67">
        <v>44129</v>
      </c>
      <c r="C534" t="s">
        <v>182</v>
      </c>
      <c r="D534" t="s">
        <v>165</v>
      </c>
      <c r="E534" t="s">
        <v>162</v>
      </c>
      <c r="F534" t="s">
        <v>169</v>
      </c>
      <c r="G534" s="82">
        <v>6586</v>
      </c>
      <c r="H534" s="82">
        <v>1185.48</v>
      </c>
      <c r="I534">
        <f>YEAR(tbl_dashboard_ejm[[#This Row],[Fecha]])</f>
        <v>2020</v>
      </c>
      <c r="J534" t="str">
        <f>TEXT(tbl_dashboard_ejm[[#This Row],[Fecha]],"MMMM")</f>
        <v>octubre</v>
      </c>
      <c r="K534">
        <f>WEEKNUM(tbl_dashboard_ejm[[#This Row],[Fecha]],2)</f>
        <v>43</v>
      </c>
    </row>
    <row r="535" spans="2:11" x14ac:dyDescent="0.3">
      <c r="B535" s="67">
        <v>44129</v>
      </c>
      <c r="C535" t="s">
        <v>183</v>
      </c>
      <c r="D535" t="s">
        <v>161</v>
      </c>
      <c r="E535" t="s">
        <v>162</v>
      </c>
      <c r="F535" t="s">
        <v>169</v>
      </c>
      <c r="G535" s="82">
        <v>4326</v>
      </c>
      <c r="H535" s="82">
        <v>1384.32</v>
      </c>
      <c r="I535">
        <f>YEAR(tbl_dashboard_ejm[[#This Row],[Fecha]])</f>
        <v>2020</v>
      </c>
      <c r="J535" t="str">
        <f>TEXT(tbl_dashboard_ejm[[#This Row],[Fecha]],"MMMM")</f>
        <v>octubre</v>
      </c>
      <c r="K535">
        <f>WEEKNUM(tbl_dashboard_ejm[[#This Row],[Fecha]],2)</f>
        <v>43</v>
      </c>
    </row>
    <row r="536" spans="2:11" x14ac:dyDescent="0.3">
      <c r="B536" s="67">
        <v>44129</v>
      </c>
      <c r="C536" t="s">
        <v>184</v>
      </c>
      <c r="D536" t="s">
        <v>161</v>
      </c>
      <c r="E536" t="s">
        <v>162</v>
      </c>
      <c r="F536" t="s">
        <v>169</v>
      </c>
      <c r="G536" s="82">
        <v>10424</v>
      </c>
      <c r="H536" s="82">
        <v>4169.6000000000004</v>
      </c>
      <c r="I536">
        <f>YEAR(tbl_dashboard_ejm[[#This Row],[Fecha]])</f>
        <v>2020</v>
      </c>
      <c r="J536" t="str">
        <f>TEXT(tbl_dashboard_ejm[[#This Row],[Fecha]],"MMMM")</f>
        <v>octubre</v>
      </c>
      <c r="K536">
        <f>WEEKNUM(tbl_dashboard_ejm[[#This Row],[Fecha]],2)</f>
        <v>43</v>
      </c>
    </row>
    <row r="537" spans="2:11" x14ac:dyDescent="0.3">
      <c r="B537" s="67">
        <v>44128</v>
      </c>
      <c r="C537" t="s">
        <v>185</v>
      </c>
      <c r="D537" t="s">
        <v>165</v>
      </c>
      <c r="E537" t="s">
        <v>166</v>
      </c>
      <c r="F537" t="s">
        <v>169</v>
      </c>
      <c r="G537" s="82">
        <v>2836</v>
      </c>
      <c r="H537" s="82">
        <v>1077.68</v>
      </c>
      <c r="I537">
        <f>YEAR(tbl_dashboard_ejm[[#This Row],[Fecha]])</f>
        <v>2020</v>
      </c>
      <c r="J537" t="str">
        <f>TEXT(tbl_dashboard_ejm[[#This Row],[Fecha]],"MMMM")</f>
        <v>octubre</v>
      </c>
      <c r="K537">
        <f>WEEKNUM(tbl_dashboard_ejm[[#This Row],[Fecha]],2)</f>
        <v>43</v>
      </c>
    </row>
    <row r="538" spans="2:11" x14ac:dyDescent="0.3">
      <c r="B538" s="67">
        <v>44134</v>
      </c>
      <c r="C538" t="s">
        <v>186</v>
      </c>
      <c r="D538" t="s">
        <v>168</v>
      </c>
      <c r="E538" t="s">
        <v>166</v>
      </c>
      <c r="F538" t="s">
        <v>163</v>
      </c>
      <c r="G538" s="82">
        <v>8040</v>
      </c>
      <c r="H538" s="82">
        <v>3376.8</v>
      </c>
      <c r="I538">
        <f>YEAR(tbl_dashboard_ejm[[#This Row],[Fecha]])</f>
        <v>2020</v>
      </c>
      <c r="J538" t="str">
        <f>TEXT(tbl_dashboard_ejm[[#This Row],[Fecha]],"MMMM")</f>
        <v>octubre</v>
      </c>
      <c r="K538">
        <f>WEEKNUM(tbl_dashboard_ejm[[#This Row],[Fecha]],2)</f>
        <v>44</v>
      </c>
    </row>
    <row r="539" spans="2:11" x14ac:dyDescent="0.3">
      <c r="B539" s="67">
        <v>44134</v>
      </c>
      <c r="C539" t="s">
        <v>187</v>
      </c>
      <c r="D539" t="s">
        <v>168</v>
      </c>
      <c r="E539" t="s">
        <v>162</v>
      </c>
      <c r="F539" t="s">
        <v>163</v>
      </c>
      <c r="G539" s="82">
        <v>10226</v>
      </c>
      <c r="H539" s="82">
        <v>4090.4</v>
      </c>
      <c r="I539">
        <f>YEAR(tbl_dashboard_ejm[[#This Row],[Fecha]])</f>
        <v>2020</v>
      </c>
      <c r="J539" t="str">
        <f>TEXT(tbl_dashboard_ejm[[#This Row],[Fecha]],"MMMM")</f>
        <v>octubre</v>
      </c>
      <c r="K539">
        <f>WEEKNUM(tbl_dashboard_ejm[[#This Row],[Fecha]],2)</f>
        <v>44</v>
      </c>
    </row>
    <row r="540" spans="2:11" x14ac:dyDescent="0.3">
      <c r="B540" s="67">
        <v>44134</v>
      </c>
      <c r="C540" t="s">
        <v>188</v>
      </c>
      <c r="D540" t="s">
        <v>165</v>
      </c>
      <c r="E540" t="s">
        <v>162</v>
      </c>
      <c r="F540" t="s">
        <v>169</v>
      </c>
      <c r="G540" s="82">
        <v>11163</v>
      </c>
      <c r="H540" s="82">
        <v>4911.72</v>
      </c>
      <c r="I540">
        <f>YEAR(tbl_dashboard_ejm[[#This Row],[Fecha]])</f>
        <v>2020</v>
      </c>
      <c r="J540" t="str">
        <f>TEXT(tbl_dashboard_ejm[[#This Row],[Fecha]],"MMMM")</f>
        <v>octubre</v>
      </c>
      <c r="K540">
        <f>WEEKNUM(tbl_dashboard_ejm[[#This Row],[Fecha]],2)</f>
        <v>44</v>
      </c>
    </row>
    <row r="541" spans="2:11" x14ac:dyDescent="0.3">
      <c r="B541" s="67">
        <v>44165</v>
      </c>
      <c r="C541" t="s">
        <v>160</v>
      </c>
      <c r="D541" t="s">
        <v>165</v>
      </c>
      <c r="E541" t="s">
        <v>166</v>
      </c>
      <c r="F541" t="s">
        <v>169</v>
      </c>
      <c r="G541" s="82">
        <v>9151</v>
      </c>
      <c r="H541" s="82">
        <v>3294.36</v>
      </c>
      <c r="I541">
        <f>YEAR(tbl_dashboard_ejm[[#This Row],[Fecha]])</f>
        <v>2020</v>
      </c>
      <c r="J541" t="str">
        <f>TEXT(tbl_dashboard_ejm[[#This Row],[Fecha]],"MMMM")</f>
        <v>noviembre</v>
      </c>
      <c r="K541">
        <f>WEEKNUM(tbl_dashboard_ejm[[#This Row],[Fecha]],2)</f>
        <v>49</v>
      </c>
    </row>
    <row r="542" spans="2:11" x14ac:dyDescent="0.3">
      <c r="B542" s="67">
        <v>44165</v>
      </c>
      <c r="C542" t="s">
        <v>164</v>
      </c>
      <c r="D542" t="s">
        <v>165</v>
      </c>
      <c r="E542" t="s">
        <v>166</v>
      </c>
      <c r="F542" t="s">
        <v>163</v>
      </c>
      <c r="G542" s="82">
        <v>9686</v>
      </c>
      <c r="H542" s="82">
        <v>2324.64</v>
      </c>
      <c r="I542">
        <f>YEAR(tbl_dashboard_ejm[[#This Row],[Fecha]])</f>
        <v>2020</v>
      </c>
      <c r="J542" t="str">
        <f>TEXT(tbl_dashboard_ejm[[#This Row],[Fecha]],"MMMM")</f>
        <v>noviembre</v>
      </c>
      <c r="K542">
        <f>WEEKNUM(tbl_dashboard_ejm[[#This Row],[Fecha]],2)</f>
        <v>49</v>
      </c>
    </row>
    <row r="543" spans="2:11" x14ac:dyDescent="0.3">
      <c r="B543" s="67">
        <v>44165</v>
      </c>
      <c r="C543" t="s">
        <v>167</v>
      </c>
      <c r="D543" t="s">
        <v>161</v>
      </c>
      <c r="E543" t="s">
        <v>166</v>
      </c>
      <c r="F543" t="s">
        <v>163</v>
      </c>
      <c r="G543" s="82">
        <v>3964</v>
      </c>
      <c r="H543" s="82">
        <v>1228.8399999999999</v>
      </c>
      <c r="I543">
        <f>YEAR(tbl_dashboard_ejm[[#This Row],[Fecha]])</f>
        <v>2020</v>
      </c>
      <c r="J543" t="str">
        <f>TEXT(tbl_dashboard_ejm[[#This Row],[Fecha]],"MMMM")</f>
        <v>noviembre</v>
      </c>
      <c r="K543">
        <f>WEEKNUM(tbl_dashboard_ejm[[#This Row],[Fecha]],2)</f>
        <v>49</v>
      </c>
    </row>
    <row r="544" spans="2:11" x14ac:dyDescent="0.3">
      <c r="B544" s="67">
        <v>44165</v>
      </c>
      <c r="C544" t="s">
        <v>170</v>
      </c>
      <c r="D544" t="s">
        <v>165</v>
      </c>
      <c r="E544" t="s">
        <v>166</v>
      </c>
      <c r="F544" t="s">
        <v>169</v>
      </c>
      <c r="G544" s="82">
        <v>4859</v>
      </c>
      <c r="H544" s="82">
        <v>1506.29</v>
      </c>
      <c r="I544">
        <f>YEAR(tbl_dashboard_ejm[[#This Row],[Fecha]])</f>
        <v>2020</v>
      </c>
      <c r="J544" t="str">
        <f>TEXT(tbl_dashboard_ejm[[#This Row],[Fecha]],"MMMM")</f>
        <v>noviembre</v>
      </c>
      <c r="K544">
        <f>WEEKNUM(tbl_dashboard_ejm[[#This Row],[Fecha]],2)</f>
        <v>49</v>
      </c>
    </row>
    <row r="545" spans="2:11" x14ac:dyDescent="0.3">
      <c r="B545" s="67">
        <v>44161</v>
      </c>
      <c r="C545" t="s">
        <v>171</v>
      </c>
      <c r="D545" t="s">
        <v>165</v>
      </c>
      <c r="E545" t="s">
        <v>166</v>
      </c>
      <c r="F545" t="s">
        <v>163</v>
      </c>
      <c r="G545" s="82">
        <v>6118</v>
      </c>
      <c r="H545" s="82">
        <v>2630.74</v>
      </c>
      <c r="I545">
        <f>YEAR(tbl_dashboard_ejm[[#This Row],[Fecha]])</f>
        <v>2020</v>
      </c>
      <c r="J545" t="str">
        <f>TEXT(tbl_dashboard_ejm[[#This Row],[Fecha]],"MMMM")</f>
        <v>noviembre</v>
      </c>
      <c r="K545">
        <f>WEEKNUM(tbl_dashboard_ejm[[#This Row],[Fecha]],2)</f>
        <v>48</v>
      </c>
    </row>
    <row r="546" spans="2:11" x14ac:dyDescent="0.3">
      <c r="B546" s="67">
        <v>44160</v>
      </c>
      <c r="C546" t="s">
        <v>172</v>
      </c>
      <c r="D546" t="s">
        <v>168</v>
      </c>
      <c r="E546" t="s">
        <v>162</v>
      </c>
      <c r="F546" t="s">
        <v>169</v>
      </c>
      <c r="G546" s="82">
        <v>1645</v>
      </c>
      <c r="H546" s="82">
        <v>592.20000000000005</v>
      </c>
      <c r="I546">
        <f>YEAR(tbl_dashboard_ejm[[#This Row],[Fecha]])</f>
        <v>2020</v>
      </c>
      <c r="J546" t="str">
        <f>TEXT(tbl_dashboard_ejm[[#This Row],[Fecha]],"MMMM")</f>
        <v>noviembre</v>
      </c>
      <c r="K546">
        <f>WEEKNUM(tbl_dashboard_ejm[[#This Row],[Fecha]],2)</f>
        <v>48</v>
      </c>
    </row>
    <row r="547" spans="2:11" x14ac:dyDescent="0.3">
      <c r="B547" s="67">
        <v>44160</v>
      </c>
      <c r="C547" t="s">
        <v>173</v>
      </c>
      <c r="D547" t="s">
        <v>165</v>
      </c>
      <c r="E547" t="s">
        <v>166</v>
      </c>
      <c r="F547" t="s">
        <v>169</v>
      </c>
      <c r="G547" s="82">
        <v>2175</v>
      </c>
      <c r="H547" s="82">
        <v>543.75</v>
      </c>
      <c r="I547">
        <f>YEAR(tbl_dashboard_ejm[[#This Row],[Fecha]])</f>
        <v>2020</v>
      </c>
      <c r="J547" t="str">
        <f>TEXT(tbl_dashboard_ejm[[#This Row],[Fecha]],"MMMM")</f>
        <v>noviembre</v>
      </c>
      <c r="K547">
        <f>WEEKNUM(tbl_dashboard_ejm[[#This Row],[Fecha]],2)</f>
        <v>48</v>
      </c>
    </row>
    <row r="548" spans="2:11" x14ac:dyDescent="0.3">
      <c r="B548" s="67">
        <v>44160</v>
      </c>
      <c r="C548" t="s">
        <v>174</v>
      </c>
      <c r="D548" t="s">
        <v>161</v>
      </c>
      <c r="E548" t="s">
        <v>166</v>
      </c>
      <c r="F548" t="s">
        <v>169</v>
      </c>
      <c r="G548" s="82">
        <v>11819</v>
      </c>
      <c r="H548" s="82">
        <v>4609.41</v>
      </c>
      <c r="I548">
        <f>YEAR(tbl_dashboard_ejm[[#This Row],[Fecha]])</f>
        <v>2020</v>
      </c>
      <c r="J548" t="str">
        <f>TEXT(tbl_dashboard_ejm[[#This Row],[Fecha]],"MMMM")</f>
        <v>noviembre</v>
      </c>
      <c r="K548">
        <f>WEEKNUM(tbl_dashboard_ejm[[#This Row],[Fecha]],2)</f>
        <v>48</v>
      </c>
    </row>
    <row r="549" spans="2:11" x14ac:dyDescent="0.3">
      <c r="B549" s="67">
        <v>44160</v>
      </c>
      <c r="C549" t="s">
        <v>175</v>
      </c>
      <c r="D549" t="s">
        <v>161</v>
      </c>
      <c r="E549" t="s">
        <v>162</v>
      </c>
      <c r="F549" t="s">
        <v>169</v>
      </c>
      <c r="G549" s="82">
        <v>3119</v>
      </c>
      <c r="H549" s="82">
        <v>499.04</v>
      </c>
      <c r="I549">
        <f>YEAR(tbl_dashboard_ejm[[#This Row],[Fecha]])</f>
        <v>2020</v>
      </c>
      <c r="J549" t="str">
        <f>TEXT(tbl_dashboard_ejm[[#This Row],[Fecha]],"MMMM")</f>
        <v>noviembre</v>
      </c>
      <c r="K549">
        <f>WEEKNUM(tbl_dashboard_ejm[[#This Row],[Fecha]],2)</f>
        <v>48</v>
      </c>
    </row>
    <row r="550" spans="2:11" x14ac:dyDescent="0.3">
      <c r="B550" s="67">
        <v>44159</v>
      </c>
      <c r="C550" t="s">
        <v>176</v>
      </c>
      <c r="D550" t="s">
        <v>161</v>
      </c>
      <c r="E550" t="s">
        <v>162</v>
      </c>
      <c r="F550" t="s">
        <v>169</v>
      </c>
      <c r="G550" s="82">
        <v>6518</v>
      </c>
      <c r="H550" s="82">
        <v>1499.14</v>
      </c>
      <c r="I550">
        <f>YEAR(tbl_dashboard_ejm[[#This Row],[Fecha]])</f>
        <v>2020</v>
      </c>
      <c r="J550" t="str">
        <f>TEXT(tbl_dashboard_ejm[[#This Row],[Fecha]],"MMMM")</f>
        <v>noviembre</v>
      </c>
      <c r="K550">
        <f>WEEKNUM(tbl_dashboard_ejm[[#This Row],[Fecha]],2)</f>
        <v>48</v>
      </c>
    </row>
    <row r="551" spans="2:11" x14ac:dyDescent="0.3">
      <c r="B551" s="67">
        <v>44159</v>
      </c>
      <c r="C551" t="s">
        <v>177</v>
      </c>
      <c r="D551" t="s">
        <v>168</v>
      </c>
      <c r="E551" t="s">
        <v>166</v>
      </c>
      <c r="F551" t="s">
        <v>163</v>
      </c>
      <c r="G551" s="82">
        <v>5884</v>
      </c>
      <c r="H551" s="82">
        <v>1412.16</v>
      </c>
      <c r="I551">
        <f>YEAR(tbl_dashboard_ejm[[#This Row],[Fecha]])</f>
        <v>2020</v>
      </c>
      <c r="J551" t="str">
        <f>TEXT(tbl_dashboard_ejm[[#This Row],[Fecha]],"MMMM")</f>
        <v>noviembre</v>
      </c>
      <c r="K551">
        <f>WEEKNUM(tbl_dashboard_ejm[[#This Row],[Fecha]],2)</f>
        <v>48</v>
      </c>
    </row>
    <row r="552" spans="2:11" x14ac:dyDescent="0.3">
      <c r="B552" s="67">
        <v>44159</v>
      </c>
      <c r="C552" t="s">
        <v>178</v>
      </c>
      <c r="D552" t="s">
        <v>161</v>
      </c>
      <c r="E552" t="s">
        <v>162</v>
      </c>
      <c r="F552" t="s">
        <v>163</v>
      </c>
      <c r="G552" s="82">
        <v>5452</v>
      </c>
      <c r="H552" s="82">
        <v>1635.6</v>
      </c>
      <c r="I552">
        <f>YEAR(tbl_dashboard_ejm[[#This Row],[Fecha]])</f>
        <v>2020</v>
      </c>
      <c r="J552" t="str">
        <f>TEXT(tbl_dashboard_ejm[[#This Row],[Fecha]],"MMMM")</f>
        <v>noviembre</v>
      </c>
      <c r="K552">
        <f>WEEKNUM(tbl_dashboard_ejm[[#This Row],[Fecha]],2)</f>
        <v>48</v>
      </c>
    </row>
    <row r="553" spans="2:11" x14ac:dyDescent="0.3">
      <c r="B553" s="67">
        <v>44159</v>
      </c>
      <c r="C553" t="s">
        <v>179</v>
      </c>
      <c r="D553" t="s">
        <v>161</v>
      </c>
      <c r="E553" t="s">
        <v>162</v>
      </c>
      <c r="F553" t="s">
        <v>169</v>
      </c>
      <c r="G553" s="82">
        <v>7268</v>
      </c>
      <c r="H553" s="82">
        <v>3197.92</v>
      </c>
      <c r="I553">
        <f>YEAR(tbl_dashboard_ejm[[#This Row],[Fecha]])</f>
        <v>2020</v>
      </c>
      <c r="J553" t="str">
        <f>TEXT(tbl_dashboard_ejm[[#This Row],[Fecha]],"MMMM")</f>
        <v>noviembre</v>
      </c>
      <c r="K553">
        <f>WEEKNUM(tbl_dashboard_ejm[[#This Row],[Fecha]],2)</f>
        <v>48</v>
      </c>
    </row>
    <row r="554" spans="2:11" x14ac:dyDescent="0.3">
      <c r="B554" s="67">
        <v>44159</v>
      </c>
      <c r="C554" t="s">
        <v>180</v>
      </c>
      <c r="D554" t="s">
        <v>168</v>
      </c>
      <c r="E554" t="s">
        <v>166</v>
      </c>
      <c r="F554" t="s">
        <v>169</v>
      </c>
      <c r="G554" s="82">
        <v>10802</v>
      </c>
      <c r="H554" s="82">
        <v>2052.38</v>
      </c>
      <c r="I554">
        <f>YEAR(tbl_dashboard_ejm[[#This Row],[Fecha]])</f>
        <v>2020</v>
      </c>
      <c r="J554" t="str">
        <f>TEXT(tbl_dashboard_ejm[[#This Row],[Fecha]],"MMMM")</f>
        <v>noviembre</v>
      </c>
      <c r="K554">
        <f>WEEKNUM(tbl_dashboard_ejm[[#This Row],[Fecha]],2)</f>
        <v>48</v>
      </c>
    </row>
    <row r="555" spans="2:11" x14ac:dyDescent="0.3">
      <c r="B555" s="67">
        <v>44196</v>
      </c>
      <c r="C555" t="s">
        <v>160</v>
      </c>
      <c r="D555" t="s">
        <v>161</v>
      </c>
      <c r="E555" t="s">
        <v>162</v>
      </c>
      <c r="F555" t="s">
        <v>163</v>
      </c>
      <c r="G555" s="82">
        <v>1852</v>
      </c>
      <c r="H555" s="82">
        <v>722.28</v>
      </c>
      <c r="I555">
        <f>YEAR(tbl_dashboard_ejm[[#This Row],[Fecha]])</f>
        <v>2020</v>
      </c>
      <c r="J555" t="str">
        <f>TEXT(tbl_dashboard_ejm[[#This Row],[Fecha]],"MMMM")</f>
        <v>diciembre</v>
      </c>
      <c r="K555">
        <f>WEEKNUM(tbl_dashboard_ejm[[#This Row],[Fecha]],2)</f>
        <v>53</v>
      </c>
    </row>
    <row r="556" spans="2:11" x14ac:dyDescent="0.3">
      <c r="B556" s="67">
        <v>44196</v>
      </c>
      <c r="C556" t="s">
        <v>164</v>
      </c>
      <c r="D556" t="s">
        <v>168</v>
      </c>
      <c r="E556" t="s">
        <v>162</v>
      </c>
      <c r="F556" t="s">
        <v>163</v>
      </c>
      <c r="G556" s="82">
        <v>10163</v>
      </c>
      <c r="H556" s="82">
        <v>1930.97</v>
      </c>
      <c r="I556">
        <f>YEAR(tbl_dashboard_ejm[[#This Row],[Fecha]])</f>
        <v>2020</v>
      </c>
      <c r="J556" t="str">
        <f>TEXT(tbl_dashboard_ejm[[#This Row],[Fecha]],"MMMM")</f>
        <v>diciembre</v>
      </c>
      <c r="K556">
        <f>WEEKNUM(tbl_dashboard_ejm[[#This Row],[Fecha]],2)</f>
        <v>53</v>
      </c>
    </row>
    <row r="557" spans="2:11" x14ac:dyDescent="0.3">
      <c r="B557" s="67">
        <v>44195</v>
      </c>
      <c r="C557" t="s">
        <v>167</v>
      </c>
      <c r="D557" t="s">
        <v>168</v>
      </c>
      <c r="E557" t="s">
        <v>162</v>
      </c>
      <c r="F557" t="s">
        <v>169</v>
      </c>
      <c r="G557" s="82">
        <v>2325</v>
      </c>
      <c r="H557" s="82">
        <v>953.25</v>
      </c>
      <c r="I557">
        <f>YEAR(tbl_dashboard_ejm[[#This Row],[Fecha]])</f>
        <v>2020</v>
      </c>
      <c r="J557" t="str">
        <f>TEXT(tbl_dashboard_ejm[[#This Row],[Fecha]],"MMMM")</f>
        <v>diciembre</v>
      </c>
      <c r="K557">
        <f>WEEKNUM(tbl_dashboard_ejm[[#This Row],[Fecha]],2)</f>
        <v>53</v>
      </c>
    </row>
    <row r="558" spans="2:11" x14ac:dyDescent="0.3">
      <c r="B558" s="67">
        <v>44191</v>
      </c>
      <c r="C558" t="s">
        <v>170</v>
      </c>
      <c r="D558" t="s">
        <v>168</v>
      </c>
      <c r="E558" t="s">
        <v>162</v>
      </c>
      <c r="F558" t="s">
        <v>163</v>
      </c>
      <c r="G558" s="82">
        <v>9471</v>
      </c>
      <c r="H558" s="82">
        <v>4261.95</v>
      </c>
      <c r="I558">
        <f>YEAR(tbl_dashboard_ejm[[#This Row],[Fecha]])</f>
        <v>2020</v>
      </c>
      <c r="J558" t="str">
        <f>TEXT(tbl_dashboard_ejm[[#This Row],[Fecha]],"MMMM")</f>
        <v>diciembre</v>
      </c>
      <c r="K558">
        <f>WEEKNUM(tbl_dashboard_ejm[[#This Row],[Fecha]],2)</f>
        <v>52</v>
      </c>
    </row>
    <row r="559" spans="2:11" x14ac:dyDescent="0.3">
      <c r="B559" s="67">
        <v>44190</v>
      </c>
      <c r="C559" t="s">
        <v>171</v>
      </c>
      <c r="D559" t="s">
        <v>168</v>
      </c>
      <c r="E559" t="s">
        <v>162</v>
      </c>
      <c r="F559" t="s">
        <v>169</v>
      </c>
      <c r="G559" s="82">
        <v>6253</v>
      </c>
      <c r="H559" s="82">
        <v>2000.96</v>
      </c>
      <c r="I559">
        <f>YEAR(tbl_dashboard_ejm[[#This Row],[Fecha]])</f>
        <v>2020</v>
      </c>
      <c r="J559" t="str">
        <f>TEXT(tbl_dashboard_ejm[[#This Row],[Fecha]],"MMMM")</f>
        <v>diciembre</v>
      </c>
      <c r="K559">
        <f>WEEKNUM(tbl_dashboard_ejm[[#This Row],[Fecha]],2)</f>
        <v>52</v>
      </c>
    </row>
    <row r="560" spans="2:11" x14ac:dyDescent="0.3">
      <c r="B560" s="67">
        <v>44190</v>
      </c>
      <c r="C560" t="s">
        <v>172</v>
      </c>
      <c r="D560" t="s">
        <v>165</v>
      </c>
      <c r="E560" t="s">
        <v>166</v>
      </c>
      <c r="F560" t="s">
        <v>169</v>
      </c>
      <c r="G560" s="82">
        <v>7365</v>
      </c>
      <c r="H560" s="82">
        <v>1325.7</v>
      </c>
      <c r="I560">
        <f>YEAR(tbl_dashboard_ejm[[#This Row],[Fecha]])</f>
        <v>2020</v>
      </c>
      <c r="J560" t="str">
        <f>TEXT(tbl_dashboard_ejm[[#This Row],[Fecha]],"MMMM")</f>
        <v>diciembre</v>
      </c>
      <c r="K560">
        <f>WEEKNUM(tbl_dashboard_ejm[[#This Row],[Fecha]],2)</f>
        <v>52</v>
      </c>
    </row>
    <row r="561" spans="2:11" x14ac:dyDescent="0.3">
      <c r="B561" s="67">
        <v>44190</v>
      </c>
      <c r="C561" t="s">
        <v>173</v>
      </c>
      <c r="D561" t="s">
        <v>168</v>
      </c>
      <c r="E561" t="s">
        <v>162</v>
      </c>
      <c r="F561" t="s">
        <v>169</v>
      </c>
      <c r="G561" s="82">
        <v>5086</v>
      </c>
      <c r="H561" s="82">
        <v>1932.68</v>
      </c>
      <c r="I561">
        <f>YEAR(tbl_dashboard_ejm[[#This Row],[Fecha]])</f>
        <v>2020</v>
      </c>
      <c r="J561" t="str">
        <f>TEXT(tbl_dashboard_ejm[[#This Row],[Fecha]],"MMMM")</f>
        <v>diciembre</v>
      </c>
      <c r="K561">
        <f>WEEKNUM(tbl_dashboard_ejm[[#This Row],[Fecha]],2)</f>
        <v>52</v>
      </c>
    </row>
    <row r="562" spans="2:11" x14ac:dyDescent="0.3">
      <c r="B562" s="67">
        <v>44190</v>
      </c>
      <c r="C562" t="s">
        <v>174</v>
      </c>
      <c r="D562" t="s">
        <v>161</v>
      </c>
      <c r="E562" t="s">
        <v>162</v>
      </c>
      <c r="F562" t="s">
        <v>169</v>
      </c>
      <c r="G562" s="82">
        <v>10887</v>
      </c>
      <c r="H562" s="82">
        <v>1741.92</v>
      </c>
      <c r="I562">
        <f>YEAR(tbl_dashboard_ejm[[#This Row],[Fecha]])</f>
        <v>2020</v>
      </c>
      <c r="J562" t="str">
        <f>TEXT(tbl_dashboard_ejm[[#This Row],[Fecha]],"MMMM")</f>
        <v>diciembre</v>
      </c>
      <c r="K562">
        <f>WEEKNUM(tbl_dashboard_ejm[[#This Row],[Fecha]],2)</f>
        <v>52</v>
      </c>
    </row>
    <row r="563" spans="2:11" x14ac:dyDescent="0.3">
      <c r="B563" s="67">
        <v>44189</v>
      </c>
      <c r="C563" t="s">
        <v>175</v>
      </c>
      <c r="D563" t="s">
        <v>165</v>
      </c>
      <c r="E563" t="s">
        <v>162</v>
      </c>
      <c r="F563" t="s">
        <v>169</v>
      </c>
      <c r="G563" s="82">
        <v>4599</v>
      </c>
      <c r="H563" s="82">
        <v>2069.5500000000002</v>
      </c>
      <c r="I563">
        <f>YEAR(tbl_dashboard_ejm[[#This Row],[Fecha]])</f>
        <v>2020</v>
      </c>
      <c r="J563" t="str">
        <f>TEXT(tbl_dashboard_ejm[[#This Row],[Fecha]],"MMMM")</f>
        <v>diciembre</v>
      </c>
      <c r="K563">
        <f>WEEKNUM(tbl_dashboard_ejm[[#This Row],[Fecha]],2)</f>
        <v>52</v>
      </c>
    </row>
    <row r="564" spans="2:11" x14ac:dyDescent="0.3">
      <c r="B564" s="67">
        <v>44195</v>
      </c>
      <c r="C564" t="s">
        <v>176</v>
      </c>
      <c r="D564" t="s">
        <v>168</v>
      </c>
      <c r="E564" t="s">
        <v>166</v>
      </c>
      <c r="F564" t="s">
        <v>163</v>
      </c>
      <c r="G564" s="82">
        <v>1344</v>
      </c>
      <c r="H564" s="82">
        <v>537.6</v>
      </c>
      <c r="I564">
        <f>YEAR(tbl_dashboard_ejm[[#This Row],[Fecha]])</f>
        <v>2020</v>
      </c>
      <c r="J564" t="str">
        <f>TEXT(tbl_dashboard_ejm[[#This Row],[Fecha]],"MMMM")</f>
        <v>diciembre</v>
      </c>
      <c r="K564">
        <f>WEEKNUM(tbl_dashboard_ejm[[#This Row],[Fecha]],2)</f>
        <v>53</v>
      </c>
    </row>
    <row r="565" spans="2:11" x14ac:dyDescent="0.3">
      <c r="B565" s="67">
        <v>44195</v>
      </c>
      <c r="C565" t="s">
        <v>177</v>
      </c>
      <c r="D565" t="s">
        <v>165</v>
      </c>
      <c r="E565" t="s">
        <v>162</v>
      </c>
      <c r="F565" t="s">
        <v>163</v>
      </c>
      <c r="G565" s="82">
        <v>7937</v>
      </c>
      <c r="H565" s="82">
        <v>2063.62</v>
      </c>
      <c r="I565">
        <f>YEAR(tbl_dashboard_ejm[[#This Row],[Fecha]])</f>
        <v>2020</v>
      </c>
      <c r="J565" t="str">
        <f>TEXT(tbl_dashboard_ejm[[#This Row],[Fecha]],"MMMM")</f>
        <v>diciembre</v>
      </c>
      <c r="K565">
        <f>WEEKNUM(tbl_dashboard_ejm[[#This Row],[Fecha]],2)</f>
        <v>53</v>
      </c>
    </row>
    <row r="566" spans="2:11" x14ac:dyDescent="0.3">
      <c r="B566" s="67">
        <v>44195</v>
      </c>
      <c r="C566" t="s">
        <v>178</v>
      </c>
      <c r="D566" t="s">
        <v>165</v>
      </c>
      <c r="E566" t="s">
        <v>166</v>
      </c>
      <c r="F566" t="s">
        <v>169</v>
      </c>
      <c r="G566" s="82">
        <v>8324</v>
      </c>
      <c r="H566" s="82">
        <v>1415.08</v>
      </c>
      <c r="I566">
        <f>YEAR(tbl_dashboard_ejm[[#This Row],[Fecha]])</f>
        <v>2020</v>
      </c>
      <c r="J566" t="str">
        <f>TEXT(tbl_dashboard_ejm[[#This Row],[Fecha]],"MMMM")</f>
        <v>diciembre</v>
      </c>
      <c r="K566">
        <f>WEEKNUM(tbl_dashboard_ejm[[#This Row],[Fecha]],2)</f>
        <v>53</v>
      </c>
    </row>
    <row r="567" spans="2:11" x14ac:dyDescent="0.3">
      <c r="B567" s="67">
        <v>44195</v>
      </c>
      <c r="C567" t="s">
        <v>179</v>
      </c>
      <c r="D567" t="s">
        <v>165</v>
      </c>
      <c r="E567" t="s">
        <v>166</v>
      </c>
      <c r="F567" t="s">
        <v>169</v>
      </c>
      <c r="G567" s="82">
        <v>1066</v>
      </c>
      <c r="H567" s="82">
        <v>362.44</v>
      </c>
      <c r="I567">
        <f>YEAR(tbl_dashboard_ejm[[#This Row],[Fecha]])</f>
        <v>2020</v>
      </c>
      <c r="J567" t="str">
        <f>TEXT(tbl_dashboard_ejm[[#This Row],[Fecha]],"MMMM")</f>
        <v>diciembre</v>
      </c>
      <c r="K567">
        <f>WEEKNUM(tbl_dashboard_ejm[[#This Row],[Fecha]],2)</f>
        <v>53</v>
      </c>
    </row>
    <row r="568" spans="2:11" x14ac:dyDescent="0.3">
      <c r="B568" s="67">
        <v>44195</v>
      </c>
      <c r="C568" t="s">
        <v>180</v>
      </c>
      <c r="D568" t="s">
        <v>161</v>
      </c>
      <c r="E568" t="s">
        <v>162</v>
      </c>
      <c r="F568" t="s">
        <v>163</v>
      </c>
      <c r="G568" s="82">
        <v>7547</v>
      </c>
      <c r="H568" s="82">
        <v>2037.69</v>
      </c>
      <c r="I568">
        <f>YEAR(tbl_dashboard_ejm[[#This Row],[Fecha]])</f>
        <v>2020</v>
      </c>
      <c r="J568" t="str">
        <f>TEXT(tbl_dashboard_ejm[[#This Row],[Fecha]],"MMMM")</f>
        <v>diciembre</v>
      </c>
      <c r="K568">
        <f>WEEKNUM(tbl_dashboard_ejm[[#This Row],[Fecha]],2)</f>
        <v>53</v>
      </c>
    </row>
    <row r="569" spans="2:11" x14ac:dyDescent="0.3">
      <c r="B569" s="67">
        <v>44195</v>
      </c>
      <c r="C569" t="s">
        <v>181</v>
      </c>
      <c r="D569" t="s">
        <v>168</v>
      </c>
      <c r="E569" t="s">
        <v>166</v>
      </c>
      <c r="F569" t="s">
        <v>163</v>
      </c>
      <c r="G569" s="82">
        <v>7046</v>
      </c>
      <c r="H569" s="82">
        <v>3170.7</v>
      </c>
      <c r="I569">
        <f>YEAR(tbl_dashboard_ejm[[#This Row],[Fecha]])</f>
        <v>2020</v>
      </c>
      <c r="J569" t="str">
        <f>TEXT(tbl_dashboard_ejm[[#This Row],[Fecha]],"MMMM")</f>
        <v>diciembre</v>
      </c>
      <c r="K569">
        <f>WEEKNUM(tbl_dashboard_ejm[[#This Row],[Fecha]],2)</f>
        <v>53</v>
      </c>
    </row>
    <row r="570" spans="2:11" x14ac:dyDescent="0.3">
      <c r="B570" s="67">
        <v>44195</v>
      </c>
      <c r="C570" t="s">
        <v>182</v>
      </c>
      <c r="D570" t="s">
        <v>168</v>
      </c>
      <c r="E570" t="s">
        <v>166</v>
      </c>
      <c r="F570" t="s">
        <v>169</v>
      </c>
      <c r="G570" s="82">
        <v>3861</v>
      </c>
      <c r="H570" s="82">
        <v>1505.79</v>
      </c>
      <c r="I570">
        <f>YEAR(tbl_dashboard_ejm[[#This Row],[Fecha]])</f>
        <v>2020</v>
      </c>
      <c r="J570" t="str">
        <f>TEXT(tbl_dashboard_ejm[[#This Row],[Fecha]],"MMMM")</f>
        <v>diciembre</v>
      </c>
      <c r="K570">
        <f>WEEKNUM(tbl_dashboard_ejm[[#This Row],[Fecha]],2)</f>
        <v>53</v>
      </c>
    </row>
    <row r="571" spans="2:11" x14ac:dyDescent="0.3">
      <c r="B571" s="67">
        <v>44191</v>
      </c>
      <c r="C571" t="s">
        <v>183</v>
      </c>
      <c r="D571" t="s">
        <v>168</v>
      </c>
      <c r="E571" t="s">
        <v>162</v>
      </c>
      <c r="F571" t="s">
        <v>163</v>
      </c>
      <c r="G571" s="82">
        <v>7607</v>
      </c>
      <c r="H571" s="82">
        <v>1369.26</v>
      </c>
      <c r="I571">
        <f>YEAR(tbl_dashboard_ejm[[#This Row],[Fecha]])</f>
        <v>2020</v>
      </c>
      <c r="J571" t="str">
        <f>TEXT(tbl_dashboard_ejm[[#This Row],[Fecha]],"MMMM")</f>
        <v>diciembre</v>
      </c>
      <c r="K571">
        <f>WEEKNUM(tbl_dashboard_ejm[[#This Row],[Fecha]],2)</f>
        <v>52</v>
      </c>
    </row>
    <row r="572" spans="2:11" x14ac:dyDescent="0.3">
      <c r="B572" s="67">
        <v>44190</v>
      </c>
      <c r="C572" t="s">
        <v>184</v>
      </c>
      <c r="D572" t="s">
        <v>165</v>
      </c>
      <c r="E572" t="s">
        <v>162</v>
      </c>
      <c r="F572" t="s">
        <v>169</v>
      </c>
      <c r="G572" s="82">
        <v>11883</v>
      </c>
      <c r="H572" s="82">
        <v>2970.75</v>
      </c>
      <c r="I572">
        <f>YEAR(tbl_dashboard_ejm[[#This Row],[Fecha]])</f>
        <v>2020</v>
      </c>
      <c r="J572" t="str">
        <f>TEXT(tbl_dashboard_ejm[[#This Row],[Fecha]],"MMMM")</f>
        <v>diciembre</v>
      </c>
      <c r="K572">
        <f>WEEKNUM(tbl_dashboard_ejm[[#This Row],[Fecha]],2)</f>
        <v>52</v>
      </c>
    </row>
    <row r="573" spans="2:11" x14ac:dyDescent="0.3">
      <c r="B573" s="67">
        <v>44190</v>
      </c>
      <c r="C573" t="s">
        <v>185</v>
      </c>
      <c r="D573" t="s">
        <v>168</v>
      </c>
      <c r="E573" t="s">
        <v>166</v>
      </c>
      <c r="F573" t="s">
        <v>169</v>
      </c>
      <c r="G573" s="82">
        <v>11539</v>
      </c>
      <c r="H573" s="82">
        <v>4730.99</v>
      </c>
      <c r="I573">
        <f>YEAR(tbl_dashboard_ejm[[#This Row],[Fecha]])</f>
        <v>2020</v>
      </c>
      <c r="J573" t="str">
        <f>TEXT(tbl_dashboard_ejm[[#This Row],[Fecha]],"MMMM")</f>
        <v>diciembre</v>
      </c>
      <c r="K573">
        <f>WEEKNUM(tbl_dashboard_ejm[[#This Row],[Fecha]],2)</f>
        <v>52</v>
      </c>
    </row>
    <row r="574" spans="2:11" x14ac:dyDescent="0.3">
      <c r="B574" s="67">
        <v>44190</v>
      </c>
      <c r="C574" t="s">
        <v>186</v>
      </c>
      <c r="D574" t="s">
        <v>161</v>
      </c>
      <c r="E574" t="s">
        <v>162</v>
      </c>
      <c r="F574" t="s">
        <v>169</v>
      </c>
      <c r="G574" s="82">
        <v>7770</v>
      </c>
      <c r="H574" s="82">
        <v>2331</v>
      </c>
      <c r="I574">
        <f>YEAR(tbl_dashboard_ejm[[#This Row],[Fecha]])</f>
        <v>2020</v>
      </c>
      <c r="J574" t="str">
        <f>TEXT(tbl_dashboard_ejm[[#This Row],[Fecha]],"MMMM")</f>
        <v>diciembre</v>
      </c>
      <c r="K574">
        <f>WEEKNUM(tbl_dashboard_ejm[[#This Row],[Fecha]],2)</f>
        <v>52</v>
      </c>
    </row>
    <row r="575" spans="2:11" x14ac:dyDescent="0.3">
      <c r="B575" s="67">
        <v>44190</v>
      </c>
      <c r="C575" t="s">
        <v>187</v>
      </c>
      <c r="D575" t="s">
        <v>165</v>
      </c>
      <c r="E575" t="s">
        <v>162</v>
      </c>
      <c r="F575" t="s">
        <v>169</v>
      </c>
      <c r="G575" s="82">
        <v>2280</v>
      </c>
      <c r="H575" s="82">
        <v>410.4</v>
      </c>
      <c r="I575">
        <f>YEAR(tbl_dashboard_ejm[[#This Row],[Fecha]])</f>
        <v>2020</v>
      </c>
      <c r="J575" t="str">
        <f>TEXT(tbl_dashboard_ejm[[#This Row],[Fecha]],"MMMM")</f>
        <v>diciembre</v>
      </c>
      <c r="K575">
        <f>WEEKNUM(tbl_dashboard_ejm[[#This Row],[Fecha]],2)</f>
        <v>52</v>
      </c>
    </row>
    <row r="576" spans="2:11" x14ac:dyDescent="0.3">
      <c r="B576" s="67">
        <v>44190</v>
      </c>
      <c r="C576" t="s">
        <v>188</v>
      </c>
      <c r="D576" t="s">
        <v>161</v>
      </c>
      <c r="E576" t="s">
        <v>162</v>
      </c>
      <c r="F576" t="s">
        <v>169</v>
      </c>
      <c r="G576" s="82">
        <v>5844</v>
      </c>
      <c r="H576" s="82">
        <v>2279.16</v>
      </c>
      <c r="I576">
        <f>YEAR(tbl_dashboard_ejm[[#This Row],[Fecha]])</f>
        <v>2020</v>
      </c>
      <c r="J576" t="str">
        <f>TEXT(tbl_dashboard_ejm[[#This Row],[Fecha]],"MMMM")</f>
        <v>diciembre</v>
      </c>
      <c r="K576">
        <f>WEEKNUM(tbl_dashboard_ejm[[#This Row],[Fecha]],2)</f>
        <v>52</v>
      </c>
    </row>
    <row r="577" spans="2:11" x14ac:dyDescent="0.3">
      <c r="B577" s="67">
        <v>43496</v>
      </c>
      <c r="C577" t="s">
        <v>160</v>
      </c>
      <c r="D577" t="s">
        <v>161</v>
      </c>
      <c r="E577" t="s">
        <v>162</v>
      </c>
      <c r="F577" t="s">
        <v>163</v>
      </c>
      <c r="G577" s="82">
        <v>10241</v>
      </c>
      <c r="H577" s="82">
        <v>4403.63</v>
      </c>
      <c r="I577">
        <f>YEAR(tbl_dashboard_ejm[[#This Row],[Fecha]])</f>
        <v>2019</v>
      </c>
      <c r="J577" t="str">
        <f>TEXT(tbl_dashboard_ejm[[#This Row],[Fecha]],"MMMM")</f>
        <v>enero</v>
      </c>
      <c r="K577">
        <f>WEEKNUM(tbl_dashboard_ejm[[#This Row],[Fecha]],2)</f>
        <v>5</v>
      </c>
    </row>
    <row r="578" spans="2:11" x14ac:dyDescent="0.3">
      <c r="B578" s="67">
        <v>43496</v>
      </c>
      <c r="C578" t="s">
        <v>164</v>
      </c>
      <c r="D578" t="s">
        <v>165</v>
      </c>
      <c r="E578" t="s">
        <v>166</v>
      </c>
      <c r="F578" t="s">
        <v>163</v>
      </c>
      <c r="G578" s="82">
        <v>5394</v>
      </c>
      <c r="H578" s="82">
        <v>1780.02</v>
      </c>
      <c r="I578">
        <f>YEAR(tbl_dashboard_ejm[[#This Row],[Fecha]])</f>
        <v>2019</v>
      </c>
      <c r="J578" t="str">
        <f>TEXT(tbl_dashboard_ejm[[#This Row],[Fecha]],"MMMM")</f>
        <v>enero</v>
      </c>
      <c r="K578">
        <f>WEEKNUM(tbl_dashboard_ejm[[#This Row],[Fecha]],2)</f>
        <v>5</v>
      </c>
    </row>
    <row r="579" spans="2:11" x14ac:dyDescent="0.3">
      <c r="B579" s="67">
        <v>43496</v>
      </c>
      <c r="C579" t="s">
        <v>167</v>
      </c>
      <c r="D579" t="s">
        <v>168</v>
      </c>
      <c r="E579" t="s">
        <v>166</v>
      </c>
      <c r="F579" t="s">
        <v>169</v>
      </c>
      <c r="G579" s="82">
        <v>8005</v>
      </c>
      <c r="H579" s="82">
        <v>1200.75</v>
      </c>
      <c r="I579">
        <f>YEAR(tbl_dashboard_ejm[[#This Row],[Fecha]])</f>
        <v>2019</v>
      </c>
      <c r="J579" t="str">
        <f>TEXT(tbl_dashboard_ejm[[#This Row],[Fecha]],"MMMM")</f>
        <v>enero</v>
      </c>
      <c r="K579">
        <f>WEEKNUM(tbl_dashboard_ejm[[#This Row],[Fecha]],2)</f>
        <v>5</v>
      </c>
    </row>
    <row r="580" spans="2:11" x14ac:dyDescent="0.3">
      <c r="B580" s="67">
        <v>43496</v>
      </c>
      <c r="C580" t="s">
        <v>170</v>
      </c>
      <c r="D580" t="s">
        <v>165</v>
      </c>
      <c r="E580" t="s">
        <v>162</v>
      </c>
      <c r="F580" t="s">
        <v>169</v>
      </c>
      <c r="G580" s="82">
        <v>8408</v>
      </c>
      <c r="H580" s="82">
        <v>1765.68</v>
      </c>
      <c r="I580">
        <f>YEAR(tbl_dashboard_ejm[[#This Row],[Fecha]])</f>
        <v>2019</v>
      </c>
      <c r="J580" t="str">
        <f>TEXT(tbl_dashboard_ejm[[#This Row],[Fecha]],"MMMM")</f>
        <v>enero</v>
      </c>
      <c r="K580">
        <f>WEEKNUM(tbl_dashboard_ejm[[#This Row],[Fecha]],2)</f>
        <v>5</v>
      </c>
    </row>
    <row r="581" spans="2:11" x14ac:dyDescent="0.3">
      <c r="B581" s="67">
        <v>43496</v>
      </c>
      <c r="C581" t="s">
        <v>171</v>
      </c>
      <c r="D581" t="s">
        <v>165</v>
      </c>
      <c r="E581" t="s">
        <v>162</v>
      </c>
      <c r="F581" t="s">
        <v>163</v>
      </c>
      <c r="G581" s="82">
        <v>2681</v>
      </c>
      <c r="H581" s="82">
        <v>643.44000000000005</v>
      </c>
      <c r="I581">
        <f>YEAR(tbl_dashboard_ejm[[#This Row],[Fecha]])</f>
        <v>2019</v>
      </c>
      <c r="J581" t="str">
        <f>TEXT(tbl_dashboard_ejm[[#This Row],[Fecha]],"MMMM")</f>
        <v>enero</v>
      </c>
      <c r="K581">
        <f>WEEKNUM(tbl_dashboard_ejm[[#This Row],[Fecha]],2)</f>
        <v>5</v>
      </c>
    </row>
    <row r="582" spans="2:11" x14ac:dyDescent="0.3">
      <c r="B582" s="67">
        <v>43496</v>
      </c>
      <c r="C582" t="s">
        <v>172</v>
      </c>
      <c r="D582" t="s">
        <v>165</v>
      </c>
      <c r="E582" t="s">
        <v>162</v>
      </c>
      <c r="F582" t="s">
        <v>163</v>
      </c>
      <c r="G582" s="82">
        <v>9118</v>
      </c>
      <c r="H582" s="82">
        <v>2644.22</v>
      </c>
      <c r="I582">
        <f>YEAR(tbl_dashboard_ejm[[#This Row],[Fecha]])</f>
        <v>2019</v>
      </c>
      <c r="J582" t="str">
        <f>TEXT(tbl_dashboard_ejm[[#This Row],[Fecha]],"MMMM")</f>
        <v>enero</v>
      </c>
      <c r="K582">
        <f>WEEKNUM(tbl_dashboard_ejm[[#This Row],[Fecha]],2)</f>
        <v>5</v>
      </c>
    </row>
    <row r="583" spans="2:11" x14ac:dyDescent="0.3">
      <c r="B583" s="67">
        <v>43495</v>
      </c>
      <c r="C583" t="s">
        <v>173</v>
      </c>
      <c r="D583" t="s">
        <v>161</v>
      </c>
      <c r="E583" t="s">
        <v>166</v>
      </c>
      <c r="F583" t="s">
        <v>169</v>
      </c>
      <c r="G583" s="82">
        <v>9492</v>
      </c>
      <c r="H583" s="82">
        <v>4176.4799999999996</v>
      </c>
      <c r="I583">
        <f>YEAR(tbl_dashboard_ejm[[#This Row],[Fecha]])</f>
        <v>2019</v>
      </c>
      <c r="J583" t="str">
        <f>TEXT(tbl_dashboard_ejm[[#This Row],[Fecha]],"MMMM")</f>
        <v>enero</v>
      </c>
      <c r="K583">
        <f>WEEKNUM(tbl_dashboard_ejm[[#This Row],[Fecha]],2)</f>
        <v>5</v>
      </c>
    </row>
    <row r="584" spans="2:11" x14ac:dyDescent="0.3">
      <c r="B584" s="67">
        <v>43491</v>
      </c>
      <c r="C584" t="s">
        <v>174</v>
      </c>
      <c r="D584" t="s">
        <v>165</v>
      </c>
      <c r="E584" t="s">
        <v>166</v>
      </c>
      <c r="F584" t="s">
        <v>163</v>
      </c>
      <c r="G584" s="82">
        <v>7574</v>
      </c>
      <c r="H584" s="82">
        <v>1969.24</v>
      </c>
      <c r="I584">
        <f>YEAR(tbl_dashboard_ejm[[#This Row],[Fecha]])</f>
        <v>2019</v>
      </c>
      <c r="J584" t="str">
        <f>TEXT(tbl_dashboard_ejm[[#This Row],[Fecha]],"MMMM")</f>
        <v>enero</v>
      </c>
      <c r="K584">
        <f>WEEKNUM(tbl_dashboard_ejm[[#This Row],[Fecha]],2)</f>
        <v>4</v>
      </c>
    </row>
    <row r="585" spans="2:11" x14ac:dyDescent="0.3">
      <c r="B585" s="67">
        <v>43490</v>
      </c>
      <c r="C585" t="s">
        <v>175</v>
      </c>
      <c r="D585" t="s">
        <v>168</v>
      </c>
      <c r="E585" t="s">
        <v>166</v>
      </c>
      <c r="F585" t="s">
        <v>169</v>
      </c>
      <c r="G585" s="82">
        <v>10313</v>
      </c>
      <c r="H585" s="82">
        <v>2062.6</v>
      </c>
      <c r="I585">
        <f>YEAR(tbl_dashboard_ejm[[#This Row],[Fecha]])</f>
        <v>2019</v>
      </c>
      <c r="J585" t="str">
        <f>TEXT(tbl_dashboard_ejm[[#This Row],[Fecha]],"MMMM")</f>
        <v>enero</v>
      </c>
      <c r="K585">
        <f>WEEKNUM(tbl_dashboard_ejm[[#This Row],[Fecha]],2)</f>
        <v>4</v>
      </c>
    </row>
    <row r="586" spans="2:11" x14ac:dyDescent="0.3">
      <c r="B586" s="67">
        <v>43490</v>
      </c>
      <c r="C586" t="s">
        <v>176</v>
      </c>
      <c r="D586" t="s">
        <v>161</v>
      </c>
      <c r="E586" t="s">
        <v>166</v>
      </c>
      <c r="F586" t="s">
        <v>169</v>
      </c>
      <c r="G586" s="82">
        <v>8762</v>
      </c>
      <c r="H586" s="82">
        <v>1840.02</v>
      </c>
      <c r="I586">
        <f>YEAR(tbl_dashboard_ejm[[#This Row],[Fecha]])</f>
        <v>2019</v>
      </c>
      <c r="J586" t="str">
        <f>TEXT(tbl_dashboard_ejm[[#This Row],[Fecha]],"MMMM")</f>
        <v>enero</v>
      </c>
      <c r="K586">
        <f>WEEKNUM(tbl_dashboard_ejm[[#This Row],[Fecha]],2)</f>
        <v>4</v>
      </c>
    </row>
    <row r="587" spans="2:11" x14ac:dyDescent="0.3">
      <c r="B587" s="67">
        <v>43490</v>
      </c>
      <c r="C587" t="s">
        <v>177</v>
      </c>
      <c r="D587" t="s">
        <v>165</v>
      </c>
      <c r="E587" t="s">
        <v>166</v>
      </c>
      <c r="F587" t="s">
        <v>169</v>
      </c>
      <c r="G587" s="82">
        <v>1617</v>
      </c>
      <c r="H587" s="82">
        <v>614.46</v>
      </c>
      <c r="I587">
        <f>YEAR(tbl_dashboard_ejm[[#This Row],[Fecha]])</f>
        <v>2019</v>
      </c>
      <c r="J587" t="str">
        <f>TEXT(tbl_dashboard_ejm[[#This Row],[Fecha]],"MMMM")</f>
        <v>enero</v>
      </c>
      <c r="K587">
        <f>WEEKNUM(tbl_dashboard_ejm[[#This Row],[Fecha]],2)</f>
        <v>4</v>
      </c>
    </row>
    <row r="588" spans="2:11" x14ac:dyDescent="0.3">
      <c r="B588" s="67">
        <v>43490</v>
      </c>
      <c r="C588" t="s">
        <v>178</v>
      </c>
      <c r="D588" t="s">
        <v>168</v>
      </c>
      <c r="E588" t="s">
        <v>166</v>
      </c>
      <c r="F588" t="s">
        <v>169</v>
      </c>
      <c r="G588" s="82">
        <v>10731</v>
      </c>
      <c r="H588" s="82">
        <v>4614.33</v>
      </c>
      <c r="I588">
        <f>YEAR(tbl_dashboard_ejm[[#This Row],[Fecha]])</f>
        <v>2019</v>
      </c>
      <c r="J588" t="str">
        <f>TEXT(tbl_dashboard_ejm[[#This Row],[Fecha]],"MMMM")</f>
        <v>enero</v>
      </c>
      <c r="K588">
        <f>WEEKNUM(tbl_dashboard_ejm[[#This Row],[Fecha]],2)</f>
        <v>4</v>
      </c>
    </row>
    <row r="589" spans="2:11" x14ac:dyDescent="0.3">
      <c r="B589" s="67">
        <v>43489</v>
      </c>
      <c r="C589" t="s">
        <v>179</v>
      </c>
      <c r="D589" t="s">
        <v>168</v>
      </c>
      <c r="E589" t="s">
        <v>166</v>
      </c>
      <c r="F589" t="s">
        <v>169</v>
      </c>
      <c r="G589" s="82">
        <v>11798</v>
      </c>
      <c r="H589" s="82">
        <v>2595.56</v>
      </c>
      <c r="I589">
        <f>YEAR(tbl_dashboard_ejm[[#This Row],[Fecha]])</f>
        <v>2019</v>
      </c>
      <c r="J589" t="str">
        <f>TEXT(tbl_dashboard_ejm[[#This Row],[Fecha]],"MMMM")</f>
        <v>enero</v>
      </c>
      <c r="K589">
        <f>WEEKNUM(tbl_dashboard_ejm[[#This Row],[Fecha]],2)</f>
        <v>4</v>
      </c>
    </row>
    <row r="590" spans="2:11" x14ac:dyDescent="0.3">
      <c r="B590" s="67">
        <v>43495</v>
      </c>
      <c r="C590" t="s">
        <v>180</v>
      </c>
      <c r="D590" t="s">
        <v>165</v>
      </c>
      <c r="E590" t="s">
        <v>162</v>
      </c>
      <c r="F590" t="s">
        <v>163</v>
      </c>
      <c r="G590" s="82">
        <v>6626</v>
      </c>
      <c r="H590" s="82">
        <v>1523.98</v>
      </c>
      <c r="I590">
        <f>YEAR(tbl_dashboard_ejm[[#This Row],[Fecha]])</f>
        <v>2019</v>
      </c>
      <c r="J590" t="str">
        <f>TEXT(tbl_dashboard_ejm[[#This Row],[Fecha]],"MMMM")</f>
        <v>enero</v>
      </c>
      <c r="K590">
        <f>WEEKNUM(tbl_dashboard_ejm[[#This Row],[Fecha]],2)</f>
        <v>5</v>
      </c>
    </row>
    <row r="591" spans="2:11" x14ac:dyDescent="0.3">
      <c r="B591" s="67">
        <v>43495</v>
      </c>
      <c r="C591" t="s">
        <v>181</v>
      </c>
      <c r="D591" t="s">
        <v>165</v>
      </c>
      <c r="E591" t="s">
        <v>162</v>
      </c>
      <c r="F591" t="s">
        <v>163</v>
      </c>
      <c r="G591" s="82">
        <v>2165</v>
      </c>
      <c r="H591" s="82">
        <v>476.3</v>
      </c>
      <c r="I591">
        <f>YEAR(tbl_dashboard_ejm[[#This Row],[Fecha]])</f>
        <v>2019</v>
      </c>
      <c r="J591" t="str">
        <f>TEXT(tbl_dashboard_ejm[[#This Row],[Fecha]],"MMMM")</f>
        <v>enero</v>
      </c>
      <c r="K591">
        <f>WEEKNUM(tbl_dashboard_ejm[[#This Row],[Fecha]],2)</f>
        <v>5</v>
      </c>
    </row>
    <row r="592" spans="2:11" x14ac:dyDescent="0.3">
      <c r="B592" s="67">
        <v>43495</v>
      </c>
      <c r="C592" t="s">
        <v>182</v>
      </c>
      <c r="D592" t="s">
        <v>165</v>
      </c>
      <c r="E592" t="s">
        <v>166</v>
      </c>
      <c r="F592" t="s">
        <v>169</v>
      </c>
      <c r="G592" s="82">
        <v>11064</v>
      </c>
      <c r="H592" s="82">
        <v>2655.36</v>
      </c>
      <c r="I592">
        <f>YEAR(tbl_dashboard_ejm[[#This Row],[Fecha]])</f>
        <v>2019</v>
      </c>
      <c r="J592" t="str">
        <f>TEXT(tbl_dashboard_ejm[[#This Row],[Fecha]],"MMMM")</f>
        <v>enero</v>
      </c>
      <c r="K592">
        <f>WEEKNUM(tbl_dashboard_ejm[[#This Row],[Fecha]],2)</f>
        <v>5</v>
      </c>
    </row>
    <row r="593" spans="2:11" x14ac:dyDescent="0.3">
      <c r="B593" s="67">
        <v>43495</v>
      </c>
      <c r="C593" t="s">
        <v>183</v>
      </c>
      <c r="D593" t="s">
        <v>161</v>
      </c>
      <c r="E593" t="s">
        <v>162</v>
      </c>
      <c r="F593" t="s">
        <v>169</v>
      </c>
      <c r="G593" s="82">
        <v>6989</v>
      </c>
      <c r="H593" s="82">
        <v>1118.24</v>
      </c>
      <c r="I593">
        <f>YEAR(tbl_dashboard_ejm[[#This Row],[Fecha]])</f>
        <v>2019</v>
      </c>
      <c r="J593" t="str">
        <f>TEXT(tbl_dashboard_ejm[[#This Row],[Fecha]],"MMMM")</f>
        <v>enero</v>
      </c>
      <c r="K593">
        <f>WEEKNUM(tbl_dashboard_ejm[[#This Row],[Fecha]],2)</f>
        <v>5</v>
      </c>
    </row>
    <row r="594" spans="2:11" x14ac:dyDescent="0.3">
      <c r="B594" s="67">
        <v>43495</v>
      </c>
      <c r="C594" t="s">
        <v>184</v>
      </c>
      <c r="D594" t="s">
        <v>165</v>
      </c>
      <c r="E594" t="s">
        <v>166</v>
      </c>
      <c r="F594" t="s">
        <v>163</v>
      </c>
      <c r="G594" s="82">
        <v>6909</v>
      </c>
      <c r="H594" s="82">
        <v>1727.25</v>
      </c>
      <c r="I594">
        <f>YEAR(tbl_dashboard_ejm[[#This Row],[Fecha]])</f>
        <v>2019</v>
      </c>
      <c r="J594" t="str">
        <f>TEXT(tbl_dashboard_ejm[[#This Row],[Fecha]],"MMMM")</f>
        <v>enero</v>
      </c>
      <c r="K594">
        <f>WEEKNUM(tbl_dashboard_ejm[[#This Row],[Fecha]],2)</f>
        <v>5</v>
      </c>
    </row>
    <row r="595" spans="2:11" x14ac:dyDescent="0.3">
      <c r="B595" s="67">
        <v>43495</v>
      </c>
      <c r="C595" t="s">
        <v>185</v>
      </c>
      <c r="D595" t="s">
        <v>165</v>
      </c>
      <c r="E595" t="s">
        <v>162</v>
      </c>
      <c r="F595" t="s">
        <v>163</v>
      </c>
      <c r="G595" s="82">
        <v>11752</v>
      </c>
      <c r="H595" s="82">
        <v>5053.3599999999997</v>
      </c>
      <c r="I595">
        <f>YEAR(tbl_dashboard_ejm[[#This Row],[Fecha]])</f>
        <v>2019</v>
      </c>
      <c r="J595" t="str">
        <f>TEXT(tbl_dashboard_ejm[[#This Row],[Fecha]],"MMMM")</f>
        <v>enero</v>
      </c>
      <c r="K595">
        <f>WEEKNUM(tbl_dashboard_ejm[[#This Row],[Fecha]],2)</f>
        <v>5</v>
      </c>
    </row>
    <row r="596" spans="2:11" x14ac:dyDescent="0.3">
      <c r="B596" s="67">
        <v>43495</v>
      </c>
      <c r="C596" t="s">
        <v>186</v>
      </c>
      <c r="D596" t="s">
        <v>168</v>
      </c>
      <c r="E596" t="s">
        <v>162</v>
      </c>
      <c r="F596" t="s">
        <v>169</v>
      </c>
      <c r="G596" s="82">
        <v>7666</v>
      </c>
      <c r="H596" s="82">
        <v>2759.76</v>
      </c>
      <c r="I596">
        <f>YEAR(tbl_dashboard_ejm[[#This Row],[Fecha]])</f>
        <v>2019</v>
      </c>
      <c r="J596" t="str">
        <f>TEXT(tbl_dashboard_ejm[[#This Row],[Fecha]],"MMMM")</f>
        <v>enero</v>
      </c>
      <c r="K596">
        <f>WEEKNUM(tbl_dashboard_ejm[[#This Row],[Fecha]],2)</f>
        <v>5</v>
      </c>
    </row>
    <row r="597" spans="2:11" x14ac:dyDescent="0.3">
      <c r="B597" s="67">
        <v>43491</v>
      </c>
      <c r="C597" t="s">
        <v>187</v>
      </c>
      <c r="D597" t="s">
        <v>165</v>
      </c>
      <c r="E597" t="s">
        <v>166</v>
      </c>
      <c r="F597" t="s">
        <v>163</v>
      </c>
      <c r="G597" s="82">
        <v>1415</v>
      </c>
      <c r="H597" s="82">
        <v>438.65</v>
      </c>
      <c r="I597">
        <f>YEAR(tbl_dashboard_ejm[[#This Row],[Fecha]])</f>
        <v>2019</v>
      </c>
      <c r="J597" t="str">
        <f>TEXT(tbl_dashboard_ejm[[#This Row],[Fecha]],"MMMM")</f>
        <v>enero</v>
      </c>
      <c r="K597">
        <f>WEEKNUM(tbl_dashboard_ejm[[#This Row],[Fecha]],2)</f>
        <v>4</v>
      </c>
    </row>
    <row r="598" spans="2:11" x14ac:dyDescent="0.3">
      <c r="B598" s="67">
        <v>43490</v>
      </c>
      <c r="C598" t="s">
        <v>188</v>
      </c>
      <c r="D598" t="s">
        <v>161</v>
      </c>
      <c r="E598" t="s">
        <v>162</v>
      </c>
      <c r="F598" t="s">
        <v>169</v>
      </c>
      <c r="G598" s="82">
        <v>5234</v>
      </c>
      <c r="H598" s="82">
        <v>1256.1600000000001</v>
      </c>
      <c r="I598">
        <f>YEAR(tbl_dashboard_ejm[[#This Row],[Fecha]])</f>
        <v>2019</v>
      </c>
      <c r="J598" t="str">
        <f>TEXT(tbl_dashboard_ejm[[#This Row],[Fecha]],"MMMM")</f>
        <v>enero</v>
      </c>
      <c r="K598">
        <f>WEEKNUM(tbl_dashboard_ejm[[#This Row],[Fecha]],2)</f>
        <v>4</v>
      </c>
    </row>
    <row r="599" spans="2:11" x14ac:dyDescent="0.3">
      <c r="B599" s="67">
        <v>43490</v>
      </c>
      <c r="C599" t="s">
        <v>189</v>
      </c>
      <c r="D599" t="s">
        <v>161</v>
      </c>
      <c r="E599" t="s">
        <v>162</v>
      </c>
      <c r="F599" t="s">
        <v>169</v>
      </c>
      <c r="G599" s="82">
        <v>2914</v>
      </c>
      <c r="H599" s="82">
        <v>932.48</v>
      </c>
      <c r="I599">
        <f>YEAR(tbl_dashboard_ejm[[#This Row],[Fecha]])</f>
        <v>2019</v>
      </c>
      <c r="J599" t="str">
        <f>TEXT(tbl_dashboard_ejm[[#This Row],[Fecha]],"MMMM")</f>
        <v>enero</v>
      </c>
      <c r="K599">
        <f>WEEKNUM(tbl_dashboard_ejm[[#This Row],[Fecha]],2)</f>
        <v>4</v>
      </c>
    </row>
    <row r="600" spans="2:11" x14ac:dyDescent="0.3">
      <c r="B600" s="67">
        <v>43490</v>
      </c>
      <c r="C600" t="s">
        <v>190</v>
      </c>
      <c r="D600" t="s">
        <v>161</v>
      </c>
      <c r="E600" t="s">
        <v>166</v>
      </c>
      <c r="F600" t="s">
        <v>169</v>
      </c>
      <c r="G600" s="82">
        <v>2466</v>
      </c>
      <c r="H600" s="82">
        <v>641.16</v>
      </c>
      <c r="I600">
        <f>YEAR(tbl_dashboard_ejm[[#This Row],[Fecha]])</f>
        <v>2019</v>
      </c>
      <c r="J600" t="str">
        <f>TEXT(tbl_dashboard_ejm[[#This Row],[Fecha]],"MMMM")</f>
        <v>enero</v>
      </c>
      <c r="K600">
        <f>WEEKNUM(tbl_dashboard_ejm[[#This Row],[Fecha]],2)</f>
        <v>4</v>
      </c>
    </row>
    <row r="601" spans="2:11" x14ac:dyDescent="0.3">
      <c r="B601" s="67">
        <v>43490</v>
      </c>
      <c r="C601" t="s">
        <v>191</v>
      </c>
      <c r="D601" t="s">
        <v>168</v>
      </c>
      <c r="E601" t="s">
        <v>162</v>
      </c>
      <c r="F601" t="s">
        <v>169</v>
      </c>
      <c r="G601" s="82">
        <v>5275</v>
      </c>
      <c r="H601" s="82">
        <v>2110</v>
      </c>
      <c r="I601">
        <f>YEAR(tbl_dashboard_ejm[[#This Row],[Fecha]])</f>
        <v>2019</v>
      </c>
      <c r="J601" t="str">
        <f>TEXT(tbl_dashboard_ejm[[#This Row],[Fecha]],"MMMM")</f>
        <v>enero</v>
      </c>
      <c r="K601">
        <f>WEEKNUM(tbl_dashboard_ejm[[#This Row],[Fecha]],2)</f>
        <v>4</v>
      </c>
    </row>
    <row r="602" spans="2:11" x14ac:dyDescent="0.3">
      <c r="B602" s="67">
        <v>43489</v>
      </c>
      <c r="C602" t="s">
        <v>192</v>
      </c>
      <c r="D602" t="s">
        <v>161</v>
      </c>
      <c r="E602" t="s">
        <v>162</v>
      </c>
      <c r="F602" t="s">
        <v>169</v>
      </c>
      <c r="G602" s="82">
        <v>10545</v>
      </c>
      <c r="H602" s="82">
        <v>3268.95</v>
      </c>
      <c r="I602">
        <f>YEAR(tbl_dashboard_ejm[[#This Row],[Fecha]])</f>
        <v>2019</v>
      </c>
      <c r="J602" t="str">
        <f>TEXT(tbl_dashboard_ejm[[#This Row],[Fecha]],"MMMM")</f>
        <v>enero</v>
      </c>
      <c r="K602">
        <f>WEEKNUM(tbl_dashboard_ejm[[#This Row],[Fecha]],2)</f>
        <v>4</v>
      </c>
    </row>
    <row r="603" spans="2:11" x14ac:dyDescent="0.3">
      <c r="B603" s="67">
        <v>43496</v>
      </c>
      <c r="C603" t="s">
        <v>193</v>
      </c>
      <c r="D603" t="s">
        <v>161</v>
      </c>
      <c r="E603" t="s">
        <v>162</v>
      </c>
      <c r="F603" t="s">
        <v>163</v>
      </c>
      <c r="G603" s="82">
        <v>6266</v>
      </c>
      <c r="H603" s="82">
        <v>1879.8</v>
      </c>
      <c r="I603">
        <f>YEAR(tbl_dashboard_ejm[[#This Row],[Fecha]])</f>
        <v>2019</v>
      </c>
      <c r="J603" t="str">
        <f>TEXT(tbl_dashboard_ejm[[#This Row],[Fecha]],"MMMM")</f>
        <v>enero</v>
      </c>
      <c r="K603">
        <f>WEEKNUM(tbl_dashboard_ejm[[#This Row],[Fecha]],2)</f>
        <v>5</v>
      </c>
    </row>
    <row r="604" spans="2:11" x14ac:dyDescent="0.3">
      <c r="B604" s="67">
        <v>43496</v>
      </c>
      <c r="C604" t="s">
        <v>194</v>
      </c>
      <c r="D604" t="s">
        <v>161</v>
      </c>
      <c r="E604" t="s">
        <v>162</v>
      </c>
      <c r="F604" t="s">
        <v>163</v>
      </c>
      <c r="G604" s="82">
        <v>9662</v>
      </c>
      <c r="H604" s="82">
        <v>3478.32</v>
      </c>
      <c r="I604">
        <f>YEAR(tbl_dashboard_ejm[[#This Row],[Fecha]])</f>
        <v>2019</v>
      </c>
      <c r="J604" t="str">
        <f>TEXT(tbl_dashboard_ejm[[#This Row],[Fecha]],"MMMM")</f>
        <v>enero</v>
      </c>
      <c r="K604">
        <f>WEEKNUM(tbl_dashboard_ejm[[#This Row],[Fecha]],2)</f>
        <v>5</v>
      </c>
    </row>
    <row r="605" spans="2:11" x14ac:dyDescent="0.3">
      <c r="B605" s="67">
        <v>43496</v>
      </c>
      <c r="C605" t="s">
        <v>195</v>
      </c>
      <c r="D605" t="s">
        <v>161</v>
      </c>
      <c r="E605" t="s">
        <v>162</v>
      </c>
      <c r="F605" t="s">
        <v>169</v>
      </c>
      <c r="G605" s="82">
        <v>2896</v>
      </c>
      <c r="H605" s="82">
        <v>1100.48</v>
      </c>
      <c r="I605">
        <f>YEAR(tbl_dashboard_ejm[[#This Row],[Fecha]])</f>
        <v>2019</v>
      </c>
      <c r="J605" t="str">
        <f>TEXT(tbl_dashboard_ejm[[#This Row],[Fecha]],"MMMM")</f>
        <v>enero</v>
      </c>
      <c r="K605">
        <f>WEEKNUM(tbl_dashboard_ejm[[#This Row],[Fecha]],2)</f>
        <v>5</v>
      </c>
    </row>
    <row r="606" spans="2:11" x14ac:dyDescent="0.3">
      <c r="B606" s="67">
        <v>43496</v>
      </c>
      <c r="C606" t="s">
        <v>196</v>
      </c>
      <c r="D606" t="s">
        <v>168</v>
      </c>
      <c r="E606" t="s">
        <v>162</v>
      </c>
      <c r="F606" t="s">
        <v>169</v>
      </c>
      <c r="G606" s="82">
        <v>10981</v>
      </c>
      <c r="H606" s="82">
        <v>1647.15</v>
      </c>
      <c r="I606">
        <f>YEAR(tbl_dashboard_ejm[[#This Row],[Fecha]])</f>
        <v>2019</v>
      </c>
      <c r="J606" t="str">
        <f>TEXT(tbl_dashboard_ejm[[#This Row],[Fecha]],"MMMM")</f>
        <v>enero</v>
      </c>
      <c r="K606">
        <f>WEEKNUM(tbl_dashboard_ejm[[#This Row],[Fecha]],2)</f>
        <v>5</v>
      </c>
    </row>
    <row r="607" spans="2:11" x14ac:dyDescent="0.3">
      <c r="B607" s="67">
        <v>43496</v>
      </c>
      <c r="C607" t="s">
        <v>197</v>
      </c>
      <c r="D607" t="s">
        <v>168</v>
      </c>
      <c r="E607" t="s">
        <v>166</v>
      </c>
      <c r="F607" t="s">
        <v>163</v>
      </c>
      <c r="G607" s="82">
        <v>8849</v>
      </c>
      <c r="H607" s="82">
        <v>3893.56</v>
      </c>
      <c r="I607">
        <f>YEAR(tbl_dashboard_ejm[[#This Row],[Fecha]])</f>
        <v>2019</v>
      </c>
      <c r="J607" t="str">
        <f>TEXT(tbl_dashboard_ejm[[#This Row],[Fecha]],"MMMM")</f>
        <v>enero</v>
      </c>
      <c r="K607">
        <f>WEEKNUM(tbl_dashboard_ejm[[#This Row],[Fecha]],2)</f>
        <v>5</v>
      </c>
    </row>
    <row r="608" spans="2:11" x14ac:dyDescent="0.3">
      <c r="B608" s="67">
        <v>43496</v>
      </c>
      <c r="C608" t="s">
        <v>198</v>
      </c>
      <c r="D608" t="s">
        <v>168</v>
      </c>
      <c r="E608" t="s">
        <v>166</v>
      </c>
      <c r="F608" t="s">
        <v>163</v>
      </c>
      <c r="G608" s="82">
        <v>2938</v>
      </c>
      <c r="H608" s="82">
        <v>969.54</v>
      </c>
      <c r="I608">
        <f>YEAR(tbl_dashboard_ejm[[#This Row],[Fecha]])</f>
        <v>2019</v>
      </c>
      <c r="J608" t="str">
        <f>TEXT(tbl_dashboard_ejm[[#This Row],[Fecha]],"MMMM")</f>
        <v>enero</v>
      </c>
      <c r="K608">
        <f>WEEKNUM(tbl_dashboard_ejm[[#This Row],[Fecha]],2)</f>
        <v>5</v>
      </c>
    </row>
    <row r="609" spans="2:11" x14ac:dyDescent="0.3">
      <c r="B609" s="67">
        <v>43495</v>
      </c>
      <c r="C609" t="s">
        <v>199</v>
      </c>
      <c r="D609" t="s">
        <v>165</v>
      </c>
      <c r="E609" t="s">
        <v>166</v>
      </c>
      <c r="F609" t="s">
        <v>169</v>
      </c>
      <c r="G609" s="82">
        <v>5405</v>
      </c>
      <c r="H609" s="82">
        <v>1837.7</v>
      </c>
      <c r="I609">
        <f>YEAR(tbl_dashboard_ejm[[#This Row],[Fecha]])</f>
        <v>2019</v>
      </c>
      <c r="J609" t="str">
        <f>TEXT(tbl_dashboard_ejm[[#This Row],[Fecha]],"MMMM")</f>
        <v>enero</v>
      </c>
      <c r="K609">
        <f>WEEKNUM(tbl_dashboard_ejm[[#This Row],[Fecha]],2)</f>
        <v>5</v>
      </c>
    </row>
    <row r="610" spans="2:11" x14ac:dyDescent="0.3">
      <c r="B610" s="67">
        <v>43491</v>
      </c>
      <c r="C610" t="s">
        <v>200</v>
      </c>
      <c r="D610" t="s">
        <v>168</v>
      </c>
      <c r="E610" t="s">
        <v>162</v>
      </c>
      <c r="F610" t="s">
        <v>163</v>
      </c>
      <c r="G610" s="82">
        <v>11499</v>
      </c>
      <c r="H610" s="82">
        <v>2644.77</v>
      </c>
      <c r="I610">
        <f>YEAR(tbl_dashboard_ejm[[#This Row],[Fecha]])</f>
        <v>2019</v>
      </c>
      <c r="J610" t="str">
        <f>TEXT(tbl_dashboard_ejm[[#This Row],[Fecha]],"MMMM")</f>
        <v>enero</v>
      </c>
      <c r="K610">
        <f>WEEKNUM(tbl_dashboard_ejm[[#This Row],[Fecha]],2)</f>
        <v>4</v>
      </c>
    </row>
    <row r="611" spans="2:11" x14ac:dyDescent="0.3">
      <c r="B611" s="67">
        <v>43490</v>
      </c>
      <c r="C611" t="s">
        <v>201</v>
      </c>
      <c r="D611" t="s">
        <v>161</v>
      </c>
      <c r="E611" t="s">
        <v>162</v>
      </c>
      <c r="F611" t="s">
        <v>169</v>
      </c>
      <c r="G611" s="82">
        <v>3396</v>
      </c>
      <c r="H611" s="82">
        <v>577.32000000000005</v>
      </c>
      <c r="I611">
        <f>YEAR(tbl_dashboard_ejm[[#This Row],[Fecha]])</f>
        <v>2019</v>
      </c>
      <c r="J611" t="str">
        <f>TEXT(tbl_dashboard_ejm[[#This Row],[Fecha]],"MMMM")</f>
        <v>enero</v>
      </c>
      <c r="K611">
        <f>WEEKNUM(tbl_dashboard_ejm[[#This Row],[Fecha]],2)</f>
        <v>4</v>
      </c>
    </row>
    <row r="612" spans="2:11" x14ac:dyDescent="0.3">
      <c r="B612" s="67">
        <v>43490</v>
      </c>
      <c r="C612" t="s">
        <v>202</v>
      </c>
      <c r="D612" t="s">
        <v>168</v>
      </c>
      <c r="E612" t="s">
        <v>162</v>
      </c>
      <c r="F612" t="s">
        <v>169</v>
      </c>
      <c r="G612" s="82">
        <v>9370</v>
      </c>
      <c r="H612" s="82">
        <v>2623.6</v>
      </c>
      <c r="I612">
        <f>YEAR(tbl_dashboard_ejm[[#This Row],[Fecha]])</f>
        <v>2019</v>
      </c>
      <c r="J612" t="str">
        <f>TEXT(tbl_dashboard_ejm[[#This Row],[Fecha]],"MMMM")</f>
        <v>enero</v>
      </c>
      <c r="K612">
        <f>WEEKNUM(tbl_dashboard_ejm[[#This Row],[Fecha]],2)</f>
        <v>4</v>
      </c>
    </row>
    <row r="613" spans="2:11" x14ac:dyDescent="0.3">
      <c r="B613" s="67">
        <v>43490</v>
      </c>
      <c r="C613" t="s">
        <v>203</v>
      </c>
      <c r="D613" t="s">
        <v>161</v>
      </c>
      <c r="E613" t="s">
        <v>166</v>
      </c>
      <c r="F613" t="s">
        <v>169</v>
      </c>
      <c r="G613" s="82">
        <v>11477</v>
      </c>
      <c r="H613" s="82">
        <v>3672.64</v>
      </c>
      <c r="I613">
        <f>YEAR(tbl_dashboard_ejm[[#This Row],[Fecha]])</f>
        <v>2019</v>
      </c>
      <c r="J613" t="str">
        <f>TEXT(tbl_dashboard_ejm[[#This Row],[Fecha]],"MMMM")</f>
        <v>enero</v>
      </c>
      <c r="K613">
        <f>WEEKNUM(tbl_dashboard_ejm[[#This Row],[Fecha]],2)</f>
        <v>4</v>
      </c>
    </row>
    <row r="614" spans="2:11" x14ac:dyDescent="0.3">
      <c r="B614" s="67">
        <v>43490</v>
      </c>
      <c r="C614" t="s">
        <v>204</v>
      </c>
      <c r="D614" t="s">
        <v>161</v>
      </c>
      <c r="E614" t="s">
        <v>166</v>
      </c>
      <c r="F614" t="s">
        <v>169</v>
      </c>
      <c r="G614" s="82">
        <v>10862</v>
      </c>
      <c r="H614" s="82">
        <v>3041.36</v>
      </c>
      <c r="I614">
        <f>YEAR(tbl_dashboard_ejm[[#This Row],[Fecha]])</f>
        <v>2019</v>
      </c>
      <c r="J614" t="str">
        <f>TEXT(tbl_dashboard_ejm[[#This Row],[Fecha]],"MMMM")</f>
        <v>enero</v>
      </c>
      <c r="K614">
        <f>WEEKNUM(tbl_dashboard_ejm[[#This Row],[Fecha]],2)</f>
        <v>4</v>
      </c>
    </row>
    <row r="615" spans="2:11" x14ac:dyDescent="0.3">
      <c r="B615" s="67">
        <v>43489</v>
      </c>
      <c r="C615" t="s">
        <v>205</v>
      </c>
      <c r="D615" t="s">
        <v>168</v>
      </c>
      <c r="E615" t="s">
        <v>166</v>
      </c>
      <c r="F615" t="s">
        <v>169</v>
      </c>
      <c r="G615" s="82">
        <v>4858</v>
      </c>
      <c r="H615" s="82">
        <v>2137.52</v>
      </c>
      <c r="I615">
        <f>YEAR(tbl_dashboard_ejm[[#This Row],[Fecha]])</f>
        <v>2019</v>
      </c>
      <c r="J615" t="str">
        <f>TEXT(tbl_dashboard_ejm[[#This Row],[Fecha]],"MMMM")</f>
        <v>enero</v>
      </c>
      <c r="K615">
        <f>WEEKNUM(tbl_dashboard_ejm[[#This Row],[Fecha]],2)</f>
        <v>4</v>
      </c>
    </row>
    <row r="616" spans="2:11" x14ac:dyDescent="0.3">
      <c r="B616" s="67">
        <v>43495</v>
      </c>
      <c r="C616" t="s">
        <v>206</v>
      </c>
      <c r="D616" t="s">
        <v>161</v>
      </c>
      <c r="E616" t="s">
        <v>166</v>
      </c>
      <c r="F616" t="s">
        <v>163</v>
      </c>
      <c r="G616" s="82">
        <v>10226</v>
      </c>
      <c r="H616" s="82">
        <v>2351.98</v>
      </c>
      <c r="I616">
        <f>YEAR(tbl_dashboard_ejm[[#This Row],[Fecha]])</f>
        <v>2019</v>
      </c>
      <c r="J616" t="str">
        <f>TEXT(tbl_dashboard_ejm[[#This Row],[Fecha]],"MMMM")</f>
        <v>enero</v>
      </c>
      <c r="K616">
        <f>WEEKNUM(tbl_dashboard_ejm[[#This Row],[Fecha]],2)</f>
        <v>5</v>
      </c>
    </row>
    <row r="617" spans="2:11" x14ac:dyDescent="0.3">
      <c r="B617" s="67">
        <v>43495</v>
      </c>
      <c r="C617" t="s">
        <v>207</v>
      </c>
      <c r="D617" t="s">
        <v>168</v>
      </c>
      <c r="E617" t="s">
        <v>166</v>
      </c>
      <c r="F617" t="s">
        <v>163</v>
      </c>
      <c r="G617" s="82">
        <v>2976</v>
      </c>
      <c r="H617" s="82">
        <v>803.52</v>
      </c>
      <c r="I617">
        <f>YEAR(tbl_dashboard_ejm[[#This Row],[Fecha]])</f>
        <v>2019</v>
      </c>
      <c r="J617" t="str">
        <f>TEXT(tbl_dashboard_ejm[[#This Row],[Fecha]],"MMMM")</f>
        <v>enero</v>
      </c>
      <c r="K617">
        <f>WEEKNUM(tbl_dashboard_ejm[[#This Row],[Fecha]],2)</f>
        <v>5</v>
      </c>
    </row>
    <row r="618" spans="2:11" x14ac:dyDescent="0.3">
      <c r="B618" s="67">
        <v>43495</v>
      </c>
      <c r="C618" t="s">
        <v>208</v>
      </c>
      <c r="D618" t="s">
        <v>168</v>
      </c>
      <c r="E618" t="s">
        <v>166</v>
      </c>
      <c r="F618" t="s">
        <v>169</v>
      </c>
      <c r="G618" s="82">
        <v>1563</v>
      </c>
      <c r="H618" s="82">
        <v>531.41999999999996</v>
      </c>
      <c r="I618">
        <f>YEAR(tbl_dashboard_ejm[[#This Row],[Fecha]])</f>
        <v>2019</v>
      </c>
      <c r="J618" t="str">
        <f>TEXT(tbl_dashboard_ejm[[#This Row],[Fecha]],"MMMM")</f>
        <v>enero</v>
      </c>
      <c r="K618">
        <f>WEEKNUM(tbl_dashboard_ejm[[#This Row],[Fecha]],2)</f>
        <v>5</v>
      </c>
    </row>
    <row r="619" spans="2:11" x14ac:dyDescent="0.3">
      <c r="B619" s="67">
        <v>43495</v>
      </c>
      <c r="C619" t="s">
        <v>209</v>
      </c>
      <c r="D619" t="s">
        <v>168</v>
      </c>
      <c r="E619" t="s">
        <v>162</v>
      </c>
      <c r="F619" t="s">
        <v>169</v>
      </c>
      <c r="G619" s="82">
        <v>4304</v>
      </c>
      <c r="H619" s="82">
        <v>1936.8</v>
      </c>
      <c r="I619">
        <f>YEAR(tbl_dashboard_ejm[[#This Row],[Fecha]])</f>
        <v>2019</v>
      </c>
      <c r="J619" t="str">
        <f>TEXT(tbl_dashboard_ejm[[#This Row],[Fecha]],"MMMM")</f>
        <v>enero</v>
      </c>
      <c r="K619">
        <f>WEEKNUM(tbl_dashboard_ejm[[#This Row],[Fecha]],2)</f>
        <v>5</v>
      </c>
    </row>
    <row r="620" spans="2:11" x14ac:dyDescent="0.3">
      <c r="B620" s="67">
        <v>43495</v>
      </c>
      <c r="C620" t="s">
        <v>210</v>
      </c>
      <c r="D620" t="s">
        <v>168</v>
      </c>
      <c r="E620" t="s">
        <v>166</v>
      </c>
      <c r="F620" t="s">
        <v>163</v>
      </c>
      <c r="G620" s="82">
        <v>5197</v>
      </c>
      <c r="H620" s="82">
        <v>1715.01</v>
      </c>
      <c r="I620">
        <f>YEAR(tbl_dashboard_ejm[[#This Row],[Fecha]])</f>
        <v>2019</v>
      </c>
      <c r="J620" t="str">
        <f>TEXT(tbl_dashboard_ejm[[#This Row],[Fecha]],"MMMM")</f>
        <v>enero</v>
      </c>
      <c r="K620">
        <f>WEEKNUM(tbl_dashboard_ejm[[#This Row],[Fecha]],2)</f>
        <v>5</v>
      </c>
    </row>
    <row r="621" spans="2:11" x14ac:dyDescent="0.3">
      <c r="B621" s="67">
        <v>43495</v>
      </c>
      <c r="C621" t="s">
        <v>211</v>
      </c>
      <c r="D621" t="s">
        <v>165</v>
      </c>
      <c r="E621" t="s">
        <v>166</v>
      </c>
      <c r="F621" t="s">
        <v>163</v>
      </c>
      <c r="G621" s="82">
        <v>7527</v>
      </c>
      <c r="H621" s="82">
        <v>1354.86</v>
      </c>
      <c r="I621">
        <f>YEAR(tbl_dashboard_ejm[[#This Row],[Fecha]])</f>
        <v>2019</v>
      </c>
      <c r="J621" t="str">
        <f>TEXT(tbl_dashboard_ejm[[#This Row],[Fecha]],"MMMM")</f>
        <v>enero</v>
      </c>
      <c r="K621">
        <f>WEEKNUM(tbl_dashboard_ejm[[#This Row],[Fecha]],2)</f>
        <v>5</v>
      </c>
    </row>
    <row r="622" spans="2:11" x14ac:dyDescent="0.3">
      <c r="B622" s="67">
        <v>43495</v>
      </c>
      <c r="C622" t="s">
        <v>212</v>
      </c>
      <c r="D622" t="s">
        <v>168</v>
      </c>
      <c r="E622" t="s">
        <v>166</v>
      </c>
      <c r="F622" t="s">
        <v>169</v>
      </c>
      <c r="G622" s="82">
        <v>11117</v>
      </c>
      <c r="H622" s="82">
        <v>3557.44</v>
      </c>
      <c r="I622">
        <f>YEAR(tbl_dashboard_ejm[[#This Row],[Fecha]])</f>
        <v>2019</v>
      </c>
      <c r="J622" t="str">
        <f>TEXT(tbl_dashboard_ejm[[#This Row],[Fecha]],"MMMM")</f>
        <v>enero</v>
      </c>
      <c r="K622">
        <f>WEEKNUM(tbl_dashboard_ejm[[#This Row],[Fecha]],2)</f>
        <v>5</v>
      </c>
    </row>
    <row r="623" spans="2:11" x14ac:dyDescent="0.3">
      <c r="B623" s="67">
        <v>43491</v>
      </c>
      <c r="C623" t="s">
        <v>213</v>
      </c>
      <c r="D623" t="s">
        <v>161</v>
      </c>
      <c r="E623" t="s">
        <v>162</v>
      </c>
      <c r="F623" t="s">
        <v>163</v>
      </c>
      <c r="G623" s="82">
        <v>9110</v>
      </c>
      <c r="H623" s="82">
        <v>3279.6</v>
      </c>
      <c r="I623">
        <f>YEAR(tbl_dashboard_ejm[[#This Row],[Fecha]])</f>
        <v>2019</v>
      </c>
      <c r="J623" t="str">
        <f>TEXT(tbl_dashboard_ejm[[#This Row],[Fecha]],"MMMM")</f>
        <v>enero</v>
      </c>
      <c r="K623">
        <f>WEEKNUM(tbl_dashboard_ejm[[#This Row],[Fecha]],2)</f>
        <v>4</v>
      </c>
    </row>
    <row r="624" spans="2:11" x14ac:dyDescent="0.3">
      <c r="B624" s="67">
        <v>43490</v>
      </c>
      <c r="C624" t="s">
        <v>214</v>
      </c>
      <c r="D624" t="s">
        <v>165</v>
      </c>
      <c r="E624" t="s">
        <v>166</v>
      </c>
      <c r="F624" t="s">
        <v>169</v>
      </c>
      <c r="G624" s="82">
        <v>10351</v>
      </c>
      <c r="H624" s="82">
        <v>2691.26</v>
      </c>
      <c r="I624">
        <f>YEAR(tbl_dashboard_ejm[[#This Row],[Fecha]])</f>
        <v>2019</v>
      </c>
      <c r="J624" t="str">
        <f>TEXT(tbl_dashboard_ejm[[#This Row],[Fecha]],"MMMM")</f>
        <v>enero</v>
      </c>
      <c r="K624">
        <f>WEEKNUM(tbl_dashboard_ejm[[#This Row],[Fecha]],2)</f>
        <v>4</v>
      </c>
    </row>
    <row r="625" spans="2:11" x14ac:dyDescent="0.3">
      <c r="B625" s="67">
        <v>43490</v>
      </c>
      <c r="C625" t="s">
        <v>215</v>
      </c>
      <c r="D625" t="s">
        <v>168</v>
      </c>
      <c r="E625" t="s">
        <v>162</v>
      </c>
      <c r="F625" t="s">
        <v>169</v>
      </c>
      <c r="G625" s="82">
        <v>1625</v>
      </c>
      <c r="H625" s="82">
        <v>422.5</v>
      </c>
      <c r="I625">
        <f>YEAR(tbl_dashboard_ejm[[#This Row],[Fecha]])</f>
        <v>2019</v>
      </c>
      <c r="J625" t="str">
        <f>TEXT(tbl_dashboard_ejm[[#This Row],[Fecha]],"MMMM")</f>
        <v>enero</v>
      </c>
      <c r="K625">
        <f>WEEKNUM(tbl_dashboard_ejm[[#This Row],[Fecha]],2)</f>
        <v>4</v>
      </c>
    </row>
    <row r="626" spans="2:11" x14ac:dyDescent="0.3">
      <c r="B626" s="67">
        <v>43490</v>
      </c>
      <c r="C626" t="s">
        <v>216</v>
      </c>
      <c r="D626" t="s">
        <v>165</v>
      </c>
      <c r="E626" t="s">
        <v>162</v>
      </c>
      <c r="F626" t="s">
        <v>169</v>
      </c>
      <c r="G626" s="82">
        <v>7975</v>
      </c>
      <c r="H626" s="82">
        <v>2950.75</v>
      </c>
      <c r="I626">
        <f>YEAR(tbl_dashboard_ejm[[#This Row],[Fecha]])</f>
        <v>2019</v>
      </c>
      <c r="J626" t="str">
        <f>TEXT(tbl_dashboard_ejm[[#This Row],[Fecha]],"MMMM")</f>
        <v>enero</v>
      </c>
      <c r="K626">
        <f>WEEKNUM(tbl_dashboard_ejm[[#This Row],[Fecha]],2)</f>
        <v>4</v>
      </c>
    </row>
    <row r="627" spans="2:11" x14ac:dyDescent="0.3">
      <c r="B627" s="67">
        <v>43490</v>
      </c>
      <c r="C627" t="s">
        <v>217</v>
      </c>
      <c r="D627" t="s">
        <v>165</v>
      </c>
      <c r="E627" t="s">
        <v>162</v>
      </c>
      <c r="F627" t="s">
        <v>169</v>
      </c>
      <c r="G627" s="82">
        <v>1664</v>
      </c>
      <c r="H627" s="82">
        <v>449.28</v>
      </c>
      <c r="I627">
        <f>YEAR(tbl_dashboard_ejm[[#This Row],[Fecha]])</f>
        <v>2019</v>
      </c>
      <c r="J627" t="str">
        <f>TEXT(tbl_dashboard_ejm[[#This Row],[Fecha]],"MMMM")</f>
        <v>enero</v>
      </c>
      <c r="K627">
        <f>WEEKNUM(tbl_dashboard_ejm[[#This Row],[Fecha]],2)</f>
        <v>4</v>
      </c>
    </row>
    <row r="628" spans="2:11" x14ac:dyDescent="0.3">
      <c r="B628" s="67">
        <v>43520</v>
      </c>
      <c r="C628" t="s">
        <v>160</v>
      </c>
      <c r="D628" t="s">
        <v>165</v>
      </c>
      <c r="E628" t="s">
        <v>166</v>
      </c>
      <c r="F628" t="s">
        <v>169</v>
      </c>
      <c r="G628" s="82">
        <v>3980</v>
      </c>
      <c r="H628" s="82">
        <v>1313.4</v>
      </c>
      <c r="I628">
        <f>YEAR(tbl_dashboard_ejm[[#This Row],[Fecha]])</f>
        <v>2019</v>
      </c>
      <c r="J628" t="str">
        <f>TEXT(tbl_dashboard_ejm[[#This Row],[Fecha]],"MMMM")</f>
        <v>febrero</v>
      </c>
      <c r="K628">
        <f>WEEKNUM(tbl_dashboard_ejm[[#This Row],[Fecha]],2)</f>
        <v>8</v>
      </c>
    </row>
    <row r="629" spans="2:11" x14ac:dyDescent="0.3">
      <c r="B629" s="67">
        <v>43520</v>
      </c>
      <c r="C629" t="s">
        <v>164</v>
      </c>
      <c r="D629" t="s">
        <v>161</v>
      </c>
      <c r="E629" t="s">
        <v>166</v>
      </c>
      <c r="F629" t="s">
        <v>163</v>
      </c>
      <c r="G629" s="82">
        <v>10230</v>
      </c>
      <c r="H629" s="82">
        <v>3171.3</v>
      </c>
      <c r="I629">
        <f>YEAR(tbl_dashboard_ejm[[#This Row],[Fecha]])</f>
        <v>2019</v>
      </c>
      <c r="J629" t="str">
        <f>TEXT(tbl_dashboard_ejm[[#This Row],[Fecha]],"MMMM")</f>
        <v>febrero</v>
      </c>
      <c r="K629">
        <f>WEEKNUM(tbl_dashboard_ejm[[#This Row],[Fecha]],2)</f>
        <v>8</v>
      </c>
    </row>
    <row r="630" spans="2:11" x14ac:dyDescent="0.3">
      <c r="B630" s="67">
        <v>43520</v>
      </c>
      <c r="C630" t="s">
        <v>167</v>
      </c>
      <c r="D630" t="s">
        <v>165</v>
      </c>
      <c r="E630" t="s">
        <v>162</v>
      </c>
      <c r="F630" t="s">
        <v>163</v>
      </c>
      <c r="G630" s="82">
        <v>7749</v>
      </c>
      <c r="H630" s="82">
        <v>1162.3499999999999</v>
      </c>
      <c r="I630">
        <f>YEAR(tbl_dashboard_ejm[[#This Row],[Fecha]])</f>
        <v>2019</v>
      </c>
      <c r="J630" t="str">
        <f>TEXT(tbl_dashboard_ejm[[#This Row],[Fecha]],"MMMM")</f>
        <v>febrero</v>
      </c>
      <c r="K630">
        <f>WEEKNUM(tbl_dashboard_ejm[[#This Row],[Fecha]],2)</f>
        <v>8</v>
      </c>
    </row>
    <row r="631" spans="2:11" x14ac:dyDescent="0.3">
      <c r="B631" s="67">
        <v>43520</v>
      </c>
      <c r="C631" t="s">
        <v>170</v>
      </c>
      <c r="D631" t="s">
        <v>168</v>
      </c>
      <c r="E631" t="s">
        <v>166</v>
      </c>
      <c r="F631" t="s">
        <v>169</v>
      </c>
      <c r="G631" s="82">
        <v>4349</v>
      </c>
      <c r="H631" s="82">
        <v>652.35</v>
      </c>
      <c r="I631">
        <f>YEAR(tbl_dashboard_ejm[[#This Row],[Fecha]])</f>
        <v>2019</v>
      </c>
      <c r="J631" t="str">
        <f>TEXT(tbl_dashboard_ejm[[#This Row],[Fecha]],"MMMM")</f>
        <v>febrero</v>
      </c>
      <c r="K631">
        <f>WEEKNUM(tbl_dashboard_ejm[[#This Row],[Fecha]],2)</f>
        <v>8</v>
      </c>
    </row>
    <row r="632" spans="2:11" x14ac:dyDescent="0.3">
      <c r="B632" s="67">
        <v>43520</v>
      </c>
      <c r="C632" t="s">
        <v>171</v>
      </c>
      <c r="D632" t="s">
        <v>161</v>
      </c>
      <c r="E632" t="s">
        <v>166</v>
      </c>
      <c r="F632" t="s">
        <v>169</v>
      </c>
      <c r="G632" s="82">
        <v>5360</v>
      </c>
      <c r="H632" s="82">
        <v>2197.6</v>
      </c>
      <c r="I632">
        <f>YEAR(tbl_dashboard_ejm[[#This Row],[Fecha]])</f>
        <v>2019</v>
      </c>
      <c r="J632" t="str">
        <f>TEXT(tbl_dashboard_ejm[[#This Row],[Fecha]],"MMMM")</f>
        <v>febrero</v>
      </c>
      <c r="K632">
        <f>WEEKNUM(tbl_dashboard_ejm[[#This Row],[Fecha]],2)</f>
        <v>8</v>
      </c>
    </row>
    <row r="633" spans="2:11" x14ac:dyDescent="0.3">
      <c r="B633" s="67">
        <v>43520</v>
      </c>
      <c r="C633" t="s">
        <v>172</v>
      </c>
      <c r="D633" t="s">
        <v>165</v>
      </c>
      <c r="E633" t="s">
        <v>166</v>
      </c>
      <c r="F633" t="s">
        <v>163</v>
      </c>
      <c r="G633" s="82">
        <v>10393</v>
      </c>
      <c r="H633" s="82">
        <v>1662.88</v>
      </c>
      <c r="I633">
        <f>YEAR(tbl_dashboard_ejm[[#This Row],[Fecha]])</f>
        <v>2019</v>
      </c>
      <c r="J633" t="str">
        <f>TEXT(tbl_dashboard_ejm[[#This Row],[Fecha]],"MMMM")</f>
        <v>febrero</v>
      </c>
      <c r="K633">
        <f>WEEKNUM(tbl_dashboard_ejm[[#This Row],[Fecha]],2)</f>
        <v>8</v>
      </c>
    </row>
    <row r="634" spans="2:11" x14ac:dyDescent="0.3">
      <c r="B634" s="67">
        <v>43520</v>
      </c>
      <c r="C634" t="s">
        <v>173</v>
      </c>
      <c r="D634" t="s">
        <v>168</v>
      </c>
      <c r="E634" t="s">
        <v>162</v>
      </c>
      <c r="F634" t="s">
        <v>163</v>
      </c>
      <c r="G634" s="82">
        <v>9839</v>
      </c>
      <c r="H634" s="82">
        <v>1967.8</v>
      </c>
      <c r="I634">
        <f>YEAR(tbl_dashboard_ejm[[#This Row],[Fecha]])</f>
        <v>2019</v>
      </c>
      <c r="J634" t="str">
        <f>TEXT(tbl_dashboard_ejm[[#This Row],[Fecha]],"MMMM")</f>
        <v>febrero</v>
      </c>
      <c r="K634">
        <f>WEEKNUM(tbl_dashboard_ejm[[#This Row],[Fecha]],2)</f>
        <v>8</v>
      </c>
    </row>
    <row r="635" spans="2:11" x14ac:dyDescent="0.3">
      <c r="B635" s="67">
        <v>43520</v>
      </c>
      <c r="C635" t="s">
        <v>174</v>
      </c>
      <c r="D635" t="s">
        <v>168</v>
      </c>
      <c r="E635" t="s">
        <v>162</v>
      </c>
      <c r="F635" t="s">
        <v>169</v>
      </c>
      <c r="G635" s="82">
        <v>3096</v>
      </c>
      <c r="H635" s="82">
        <v>1331.28</v>
      </c>
      <c r="I635">
        <f>YEAR(tbl_dashboard_ejm[[#This Row],[Fecha]])</f>
        <v>2019</v>
      </c>
      <c r="J635" t="str">
        <f>TEXT(tbl_dashboard_ejm[[#This Row],[Fecha]],"MMMM")</f>
        <v>febrero</v>
      </c>
      <c r="K635">
        <f>WEEKNUM(tbl_dashboard_ejm[[#This Row],[Fecha]],2)</f>
        <v>8</v>
      </c>
    </row>
    <row r="636" spans="2:11" x14ac:dyDescent="0.3">
      <c r="B636" s="67">
        <v>43520</v>
      </c>
      <c r="C636" t="s">
        <v>175</v>
      </c>
      <c r="D636" t="s">
        <v>165</v>
      </c>
      <c r="E636" t="s">
        <v>166</v>
      </c>
      <c r="F636" t="s">
        <v>163</v>
      </c>
      <c r="G636" s="82">
        <v>7169</v>
      </c>
      <c r="H636" s="82">
        <v>1362.11</v>
      </c>
      <c r="I636">
        <f>YEAR(tbl_dashboard_ejm[[#This Row],[Fecha]])</f>
        <v>2019</v>
      </c>
      <c r="J636" t="str">
        <f>TEXT(tbl_dashboard_ejm[[#This Row],[Fecha]],"MMMM")</f>
        <v>febrero</v>
      </c>
      <c r="K636">
        <f>WEEKNUM(tbl_dashboard_ejm[[#This Row],[Fecha]],2)</f>
        <v>8</v>
      </c>
    </row>
    <row r="637" spans="2:11" x14ac:dyDescent="0.3">
      <c r="B637" s="67">
        <v>43520</v>
      </c>
      <c r="C637" t="s">
        <v>176</v>
      </c>
      <c r="D637" t="s">
        <v>165</v>
      </c>
      <c r="E637" t="s">
        <v>166</v>
      </c>
      <c r="F637" t="s">
        <v>169</v>
      </c>
      <c r="G637" s="82">
        <v>1732</v>
      </c>
      <c r="H637" s="82">
        <v>415.68</v>
      </c>
      <c r="I637">
        <f>YEAR(tbl_dashboard_ejm[[#This Row],[Fecha]])</f>
        <v>2019</v>
      </c>
      <c r="J637" t="str">
        <f>TEXT(tbl_dashboard_ejm[[#This Row],[Fecha]],"MMMM")</f>
        <v>febrero</v>
      </c>
      <c r="K637">
        <f>WEEKNUM(tbl_dashboard_ejm[[#This Row],[Fecha]],2)</f>
        <v>8</v>
      </c>
    </row>
    <row r="638" spans="2:11" x14ac:dyDescent="0.3">
      <c r="B638" s="67">
        <v>43520</v>
      </c>
      <c r="C638" t="s">
        <v>177</v>
      </c>
      <c r="D638" t="s">
        <v>165</v>
      </c>
      <c r="E638" t="s">
        <v>162</v>
      </c>
      <c r="F638" t="s">
        <v>169</v>
      </c>
      <c r="G638" s="82">
        <v>7981</v>
      </c>
      <c r="H638" s="82">
        <v>2474.11</v>
      </c>
      <c r="I638">
        <f>YEAR(tbl_dashboard_ejm[[#This Row],[Fecha]])</f>
        <v>2019</v>
      </c>
      <c r="J638" t="str">
        <f>TEXT(tbl_dashboard_ejm[[#This Row],[Fecha]],"MMMM")</f>
        <v>febrero</v>
      </c>
      <c r="K638">
        <f>WEEKNUM(tbl_dashboard_ejm[[#This Row],[Fecha]],2)</f>
        <v>8</v>
      </c>
    </row>
    <row r="639" spans="2:11" x14ac:dyDescent="0.3">
      <c r="B639" s="67">
        <v>43520</v>
      </c>
      <c r="C639" t="s">
        <v>178</v>
      </c>
      <c r="D639" t="s">
        <v>161</v>
      </c>
      <c r="E639" t="s">
        <v>162</v>
      </c>
      <c r="F639" t="s">
        <v>169</v>
      </c>
      <c r="G639" s="82">
        <v>9585</v>
      </c>
      <c r="H639" s="82">
        <v>3450.6</v>
      </c>
      <c r="I639">
        <f>YEAR(tbl_dashboard_ejm[[#This Row],[Fecha]])</f>
        <v>2019</v>
      </c>
      <c r="J639" t="str">
        <f>TEXT(tbl_dashboard_ejm[[#This Row],[Fecha]],"MMMM")</f>
        <v>febrero</v>
      </c>
      <c r="K639">
        <f>WEEKNUM(tbl_dashboard_ejm[[#This Row],[Fecha]],2)</f>
        <v>8</v>
      </c>
    </row>
    <row r="640" spans="2:11" x14ac:dyDescent="0.3">
      <c r="B640" s="67">
        <v>43520</v>
      </c>
      <c r="C640" t="s">
        <v>179</v>
      </c>
      <c r="D640" t="s">
        <v>165</v>
      </c>
      <c r="E640" t="s">
        <v>162</v>
      </c>
      <c r="F640" t="s">
        <v>169</v>
      </c>
      <c r="G640" s="82">
        <v>11838</v>
      </c>
      <c r="H640" s="82">
        <v>2367.6</v>
      </c>
      <c r="I640">
        <f>YEAR(tbl_dashboard_ejm[[#This Row],[Fecha]])</f>
        <v>2019</v>
      </c>
      <c r="J640" t="str">
        <f>TEXT(tbl_dashboard_ejm[[#This Row],[Fecha]],"MMMM")</f>
        <v>febrero</v>
      </c>
      <c r="K640">
        <f>WEEKNUM(tbl_dashboard_ejm[[#This Row],[Fecha]],2)</f>
        <v>8</v>
      </c>
    </row>
    <row r="641" spans="2:11" x14ac:dyDescent="0.3">
      <c r="B641" s="67">
        <v>43520</v>
      </c>
      <c r="C641" t="s">
        <v>180</v>
      </c>
      <c r="D641" t="s">
        <v>165</v>
      </c>
      <c r="E641" t="s">
        <v>162</v>
      </c>
      <c r="F641" t="s">
        <v>169</v>
      </c>
      <c r="G641" s="82">
        <v>1953</v>
      </c>
      <c r="H641" s="82">
        <v>468.72</v>
      </c>
      <c r="I641">
        <f>YEAR(tbl_dashboard_ejm[[#This Row],[Fecha]])</f>
        <v>2019</v>
      </c>
      <c r="J641" t="str">
        <f>TEXT(tbl_dashboard_ejm[[#This Row],[Fecha]],"MMMM")</f>
        <v>febrero</v>
      </c>
      <c r="K641">
        <f>WEEKNUM(tbl_dashboard_ejm[[#This Row],[Fecha]],2)</f>
        <v>8</v>
      </c>
    </row>
    <row r="642" spans="2:11" x14ac:dyDescent="0.3">
      <c r="B642" s="67">
        <v>43520</v>
      </c>
      <c r="C642" t="s">
        <v>181</v>
      </c>
      <c r="D642" t="s">
        <v>168</v>
      </c>
      <c r="E642" t="s">
        <v>162</v>
      </c>
      <c r="F642" t="s">
        <v>163</v>
      </c>
      <c r="G642" s="82">
        <v>3048</v>
      </c>
      <c r="H642" s="82">
        <v>822.96</v>
      </c>
      <c r="I642">
        <f>YEAR(tbl_dashboard_ejm[[#This Row],[Fecha]])</f>
        <v>2019</v>
      </c>
      <c r="J642" t="str">
        <f>TEXT(tbl_dashboard_ejm[[#This Row],[Fecha]],"MMMM")</f>
        <v>febrero</v>
      </c>
      <c r="K642">
        <f>WEEKNUM(tbl_dashboard_ejm[[#This Row],[Fecha]],2)</f>
        <v>8</v>
      </c>
    </row>
    <row r="643" spans="2:11" x14ac:dyDescent="0.3">
      <c r="B643" s="67">
        <v>43520</v>
      </c>
      <c r="C643" t="s">
        <v>182</v>
      </c>
      <c r="D643" t="s">
        <v>165</v>
      </c>
      <c r="E643" t="s">
        <v>166</v>
      </c>
      <c r="F643" t="s">
        <v>163</v>
      </c>
      <c r="G643" s="82">
        <v>7864</v>
      </c>
      <c r="H643" s="82">
        <v>3145.6</v>
      </c>
      <c r="I643">
        <f>YEAR(tbl_dashboard_ejm[[#This Row],[Fecha]])</f>
        <v>2019</v>
      </c>
      <c r="J643" t="str">
        <f>TEXT(tbl_dashboard_ejm[[#This Row],[Fecha]],"MMMM")</f>
        <v>febrero</v>
      </c>
      <c r="K643">
        <f>WEEKNUM(tbl_dashboard_ejm[[#This Row],[Fecha]],2)</f>
        <v>8</v>
      </c>
    </row>
    <row r="644" spans="2:11" x14ac:dyDescent="0.3">
      <c r="B644" s="67">
        <v>43520</v>
      </c>
      <c r="C644" t="s">
        <v>183</v>
      </c>
      <c r="D644" t="s">
        <v>161</v>
      </c>
      <c r="E644" t="s">
        <v>162</v>
      </c>
      <c r="F644" t="s">
        <v>169</v>
      </c>
      <c r="G644" s="82">
        <v>10925</v>
      </c>
      <c r="H644" s="82">
        <v>3168.25</v>
      </c>
      <c r="I644">
        <f>YEAR(tbl_dashboard_ejm[[#This Row],[Fecha]])</f>
        <v>2019</v>
      </c>
      <c r="J644" t="str">
        <f>TEXT(tbl_dashboard_ejm[[#This Row],[Fecha]],"MMMM")</f>
        <v>febrero</v>
      </c>
      <c r="K644">
        <f>WEEKNUM(tbl_dashboard_ejm[[#This Row],[Fecha]],2)</f>
        <v>8</v>
      </c>
    </row>
    <row r="645" spans="2:11" x14ac:dyDescent="0.3">
      <c r="B645" s="67">
        <v>43520</v>
      </c>
      <c r="C645" t="s">
        <v>184</v>
      </c>
      <c r="D645" t="s">
        <v>161</v>
      </c>
      <c r="E645" t="s">
        <v>162</v>
      </c>
      <c r="F645" t="s">
        <v>169</v>
      </c>
      <c r="G645" s="82">
        <v>1230</v>
      </c>
      <c r="H645" s="82">
        <v>467.4</v>
      </c>
      <c r="I645">
        <f>YEAR(tbl_dashboard_ejm[[#This Row],[Fecha]])</f>
        <v>2019</v>
      </c>
      <c r="J645" t="str">
        <f>TEXT(tbl_dashboard_ejm[[#This Row],[Fecha]],"MMMM")</f>
        <v>febrero</v>
      </c>
      <c r="K645">
        <f>WEEKNUM(tbl_dashboard_ejm[[#This Row],[Fecha]],2)</f>
        <v>8</v>
      </c>
    </row>
    <row r="646" spans="2:11" x14ac:dyDescent="0.3">
      <c r="B646" s="67">
        <v>43520</v>
      </c>
      <c r="C646" t="s">
        <v>185</v>
      </c>
      <c r="D646" t="s">
        <v>161</v>
      </c>
      <c r="E646" t="s">
        <v>166</v>
      </c>
      <c r="F646" t="s">
        <v>163</v>
      </c>
      <c r="G646" s="82">
        <v>7914</v>
      </c>
      <c r="H646" s="82">
        <v>1503.66</v>
      </c>
      <c r="I646">
        <f>YEAR(tbl_dashboard_ejm[[#This Row],[Fecha]])</f>
        <v>2019</v>
      </c>
      <c r="J646" t="str">
        <f>TEXT(tbl_dashboard_ejm[[#This Row],[Fecha]],"MMMM")</f>
        <v>febrero</v>
      </c>
      <c r="K646">
        <f>WEEKNUM(tbl_dashboard_ejm[[#This Row],[Fecha]],2)</f>
        <v>8</v>
      </c>
    </row>
    <row r="647" spans="2:11" x14ac:dyDescent="0.3">
      <c r="B647" s="67">
        <v>43520</v>
      </c>
      <c r="C647" t="s">
        <v>186</v>
      </c>
      <c r="D647" t="s">
        <v>168</v>
      </c>
      <c r="E647" t="s">
        <v>162</v>
      </c>
      <c r="F647" t="s">
        <v>163</v>
      </c>
      <c r="G647" s="82">
        <v>9978</v>
      </c>
      <c r="H647" s="82">
        <v>3192.96</v>
      </c>
      <c r="I647">
        <f>YEAR(tbl_dashboard_ejm[[#This Row],[Fecha]])</f>
        <v>2019</v>
      </c>
      <c r="J647" t="str">
        <f>TEXT(tbl_dashboard_ejm[[#This Row],[Fecha]],"MMMM")</f>
        <v>febrero</v>
      </c>
      <c r="K647">
        <f>WEEKNUM(tbl_dashboard_ejm[[#This Row],[Fecha]],2)</f>
        <v>8</v>
      </c>
    </row>
    <row r="648" spans="2:11" x14ac:dyDescent="0.3">
      <c r="B648" s="67">
        <v>43520</v>
      </c>
      <c r="C648" t="s">
        <v>187</v>
      </c>
      <c r="D648" t="s">
        <v>161</v>
      </c>
      <c r="E648" t="s">
        <v>166</v>
      </c>
      <c r="F648" t="s">
        <v>169</v>
      </c>
      <c r="G648" s="82">
        <v>6793</v>
      </c>
      <c r="H648" s="82">
        <v>1222.74</v>
      </c>
      <c r="I648">
        <f>YEAR(tbl_dashboard_ejm[[#This Row],[Fecha]])</f>
        <v>2019</v>
      </c>
      <c r="J648" t="str">
        <f>TEXT(tbl_dashboard_ejm[[#This Row],[Fecha]],"MMMM")</f>
        <v>febrero</v>
      </c>
      <c r="K648">
        <f>WEEKNUM(tbl_dashboard_ejm[[#This Row],[Fecha]],2)</f>
        <v>8</v>
      </c>
    </row>
    <row r="649" spans="2:11" x14ac:dyDescent="0.3">
      <c r="B649" s="67">
        <v>43520</v>
      </c>
      <c r="C649" t="s">
        <v>188</v>
      </c>
      <c r="D649" t="s">
        <v>161</v>
      </c>
      <c r="E649" t="s">
        <v>162</v>
      </c>
      <c r="F649" t="s">
        <v>163</v>
      </c>
      <c r="G649" s="82">
        <v>5112</v>
      </c>
      <c r="H649" s="82">
        <v>1329.12</v>
      </c>
      <c r="I649">
        <f>YEAR(tbl_dashboard_ejm[[#This Row],[Fecha]])</f>
        <v>2019</v>
      </c>
      <c r="J649" t="str">
        <f>TEXT(tbl_dashboard_ejm[[#This Row],[Fecha]],"MMMM")</f>
        <v>febrero</v>
      </c>
      <c r="K649">
        <f>WEEKNUM(tbl_dashboard_ejm[[#This Row],[Fecha]],2)</f>
        <v>8</v>
      </c>
    </row>
    <row r="650" spans="2:11" x14ac:dyDescent="0.3">
      <c r="B650" s="67">
        <v>43520</v>
      </c>
      <c r="C650" t="s">
        <v>189</v>
      </c>
      <c r="D650" t="s">
        <v>168</v>
      </c>
      <c r="E650" t="s">
        <v>162</v>
      </c>
      <c r="F650" t="s">
        <v>169</v>
      </c>
      <c r="G650" s="82">
        <v>8020</v>
      </c>
      <c r="H650" s="82">
        <v>3288.2</v>
      </c>
      <c r="I650">
        <f>YEAR(tbl_dashboard_ejm[[#This Row],[Fecha]])</f>
        <v>2019</v>
      </c>
      <c r="J650" t="str">
        <f>TEXT(tbl_dashboard_ejm[[#This Row],[Fecha]],"MMMM")</f>
        <v>febrero</v>
      </c>
      <c r="K650">
        <f>WEEKNUM(tbl_dashboard_ejm[[#This Row],[Fecha]],2)</f>
        <v>8</v>
      </c>
    </row>
    <row r="651" spans="2:11" x14ac:dyDescent="0.3">
      <c r="B651" s="67">
        <v>43520</v>
      </c>
      <c r="C651" t="s">
        <v>190</v>
      </c>
      <c r="D651" t="s">
        <v>161</v>
      </c>
      <c r="E651" t="s">
        <v>162</v>
      </c>
      <c r="F651" t="s">
        <v>169</v>
      </c>
      <c r="G651" s="82">
        <v>5233</v>
      </c>
      <c r="H651" s="82">
        <v>941.94</v>
      </c>
      <c r="I651">
        <f>YEAR(tbl_dashboard_ejm[[#This Row],[Fecha]])</f>
        <v>2019</v>
      </c>
      <c r="J651" t="str">
        <f>TEXT(tbl_dashboard_ejm[[#This Row],[Fecha]],"MMMM")</f>
        <v>febrero</v>
      </c>
      <c r="K651">
        <f>WEEKNUM(tbl_dashboard_ejm[[#This Row],[Fecha]],2)</f>
        <v>8</v>
      </c>
    </row>
    <row r="652" spans="2:11" x14ac:dyDescent="0.3">
      <c r="B652" s="67">
        <v>43520</v>
      </c>
      <c r="C652" t="s">
        <v>191</v>
      </c>
      <c r="D652" t="s">
        <v>168</v>
      </c>
      <c r="E652" t="s">
        <v>162</v>
      </c>
      <c r="F652" t="s">
        <v>169</v>
      </c>
      <c r="G652" s="82">
        <v>11630</v>
      </c>
      <c r="H652" s="82">
        <v>3372.7</v>
      </c>
      <c r="I652">
        <f>YEAR(tbl_dashboard_ejm[[#This Row],[Fecha]])</f>
        <v>2019</v>
      </c>
      <c r="J652" t="str">
        <f>TEXT(tbl_dashboard_ejm[[#This Row],[Fecha]],"MMMM")</f>
        <v>febrero</v>
      </c>
      <c r="K652">
        <f>WEEKNUM(tbl_dashboard_ejm[[#This Row],[Fecha]],2)</f>
        <v>8</v>
      </c>
    </row>
    <row r="653" spans="2:11" x14ac:dyDescent="0.3">
      <c r="B653" s="67">
        <v>43520</v>
      </c>
      <c r="C653" t="s">
        <v>192</v>
      </c>
      <c r="D653" t="s">
        <v>168</v>
      </c>
      <c r="E653" t="s">
        <v>166</v>
      </c>
      <c r="F653" t="s">
        <v>169</v>
      </c>
      <c r="G653" s="82">
        <v>8901</v>
      </c>
      <c r="H653" s="82">
        <v>2759.31</v>
      </c>
      <c r="I653">
        <f>YEAR(tbl_dashboard_ejm[[#This Row],[Fecha]])</f>
        <v>2019</v>
      </c>
      <c r="J653" t="str">
        <f>TEXT(tbl_dashboard_ejm[[#This Row],[Fecha]],"MMMM")</f>
        <v>febrero</v>
      </c>
      <c r="K653">
        <f>WEEKNUM(tbl_dashboard_ejm[[#This Row],[Fecha]],2)</f>
        <v>8</v>
      </c>
    </row>
    <row r="654" spans="2:11" x14ac:dyDescent="0.3">
      <c r="B654" s="67">
        <v>43520</v>
      </c>
      <c r="C654" t="s">
        <v>193</v>
      </c>
      <c r="D654" t="s">
        <v>168</v>
      </c>
      <c r="E654" t="s">
        <v>162</v>
      </c>
      <c r="F654" t="s">
        <v>169</v>
      </c>
      <c r="G654" s="82">
        <v>7075</v>
      </c>
      <c r="H654" s="82">
        <v>3183.75</v>
      </c>
      <c r="I654">
        <f>YEAR(tbl_dashboard_ejm[[#This Row],[Fecha]])</f>
        <v>2019</v>
      </c>
      <c r="J654" t="str">
        <f>TEXT(tbl_dashboard_ejm[[#This Row],[Fecha]],"MMMM")</f>
        <v>febrero</v>
      </c>
      <c r="K654">
        <f>WEEKNUM(tbl_dashboard_ejm[[#This Row],[Fecha]],2)</f>
        <v>8</v>
      </c>
    </row>
    <row r="655" spans="2:11" x14ac:dyDescent="0.3">
      <c r="B655" s="67">
        <v>43520</v>
      </c>
      <c r="C655" t="s">
        <v>194</v>
      </c>
      <c r="D655" t="s">
        <v>168</v>
      </c>
      <c r="E655" t="s">
        <v>166</v>
      </c>
      <c r="F655" t="s">
        <v>163</v>
      </c>
      <c r="G655" s="82">
        <v>11718</v>
      </c>
      <c r="H655" s="82">
        <v>4218.4799999999996</v>
      </c>
      <c r="I655">
        <f>YEAR(tbl_dashboard_ejm[[#This Row],[Fecha]])</f>
        <v>2019</v>
      </c>
      <c r="J655" t="str">
        <f>TEXT(tbl_dashboard_ejm[[#This Row],[Fecha]],"MMMM")</f>
        <v>febrero</v>
      </c>
      <c r="K655">
        <f>WEEKNUM(tbl_dashboard_ejm[[#This Row],[Fecha]],2)</f>
        <v>8</v>
      </c>
    </row>
    <row r="656" spans="2:11" x14ac:dyDescent="0.3">
      <c r="B656" s="67">
        <v>43520</v>
      </c>
      <c r="C656" t="s">
        <v>195</v>
      </c>
      <c r="D656" t="s">
        <v>165</v>
      </c>
      <c r="E656" t="s">
        <v>162</v>
      </c>
      <c r="F656" t="s">
        <v>163</v>
      </c>
      <c r="G656" s="82">
        <v>3239</v>
      </c>
      <c r="H656" s="82">
        <v>906.92</v>
      </c>
      <c r="I656">
        <f>YEAR(tbl_dashboard_ejm[[#This Row],[Fecha]])</f>
        <v>2019</v>
      </c>
      <c r="J656" t="str">
        <f>TEXT(tbl_dashboard_ejm[[#This Row],[Fecha]],"MMMM")</f>
        <v>febrero</v>
      </c>
      <c r="K656">
        <f>WEEKNUM(tbl_dashboard_ejm[[#This Row],[Fecha]],2)</f>
        <v>8</v>
      </c>
    </row>
    <row r="657" spans="2:11" x14ac:dyDescent="0.3">
      <c r="B657" s="67">
        <v>43520</v>
      </c>
      <c r="C657" t="s">
        <v>196</v>
      </c>
      <c r="D657" t="s">
        <v>168</v>
      </c>
      <c r="E657" t="s">
        <v>166</v>
      </c>
      <c r="F657" t="s">
        <v>169</v>
      </c>
      <c r="G657" s="82">
        <v>4516</v>
      </c>
      <c r="H657" s="82">
        <v>1806.4</v>
      </c>
      <c r="I657">
        <f>YEAR(tbl_dashboard_ejm[[#This Row],[Fecha]])</f>
        <v>2019</v>
      </c>
      <c r="J657" t="str">
        <f>TEXT(tbl_dashboard_ejm[[#This Row],[Fecha]],"MMMM")</f>
        <v>febrero</v>
      </c>
      <c r="K657">
        <f>WEEKNUM(tbl_dashboard_ejm[[#This Row],[Fecha]],2)</f>
        <v>8</v>
      </c>
    </row>
    <row r="658" spans="2:11" x14ac:dyDescent="0.3">
      <c r="B658" s="67">
        <v>43520</v>
      </c>
      <c r="C658" t="s">
        <v>197</v>
      </c>
      <c r="D658" t="s">
        <v>161</v>
      </c>
      <c r="E658" t="s">
        <v>162</v>
      </c>
      <c r="F658" t="s">
        <v>169</v>
      </c>
      <c r="G658" s="82">
        <v>4823</v>
      </c>
      <c r="H658" s="82">
        <v>1350.44</v>
      </c>
      <c r="I658">
        <f>YEAR(tbl_dashboard_ejm[[#This Row],[Fecha]])</f>
        <v>2019</v>
      </c>
      <c r="J658" t="str">
        <f>TEXT(tbl_dashboard_ejm[[#This Row],[Fecha]],"MMMM")</f>
        <v>febrero</v>
      </c>
      <c r="K658">
        <f>WEEKNUM(tbl_dashboard_ejm[[#This Row],[Fecha]],2)</f>
        <v>8</v>
      </c>
    </row>
    <row r="659" spans="2:11" x14ac:dyDescent="0.3">
      <c r="B659" s="67">
        <v>43520</v>
      </c>
      <c r="C659" t="s">
        <v>198</v>
      </c>
      <c r="D659" t="s">
        <v>165</v>
      </c>
      <c r="E659" t="s">
        <v>166</v>
      </c>
      <c r="F659" t="s">
        <v>163</v>
      </c>
      <c r="G659" s="82">
        <v>3169</v>
      </c>
      <c r="H659" s="82">
        <v>475.35</v>
      </c>
      <c r="I659">
        <f>YEAR(tbl_dashboard_ejm[[#This Row],[Fecha]])</f>
        <v>2019</v>
      </c>
      <c r="J659" t="str">
        <f>TEXT(tbl_dashboard_ejm[[#This Row],[Fecha]],"MMMM")</f>
        <v>febrero</v>
      </c>
      <c r="K659">
        <f>WEEKNUM(tbl_dashboard_ejm[[#This Row],[Fecha]],2)</f>
        <v>8</v>
      </c>
    </row>
    <row r="660" spans="2:11" x14ac:dyDescent="0.3">
      <c r="B660" s="67">
        <v>43520</v>
      </c>
      <c r="C660" t="s">
        <v>199</v>
      </c>
      <c r="D660" t="s">
        <v>168</v>
      </c>
      <c r="E660" t="s">
        <v>162</v>
      </c>
      <c r="F660" t="s">
        <v>163</v>
      </c>
      <c r="G660" s="82">
        <v>6883</v>
      </c>
      <c r="H660" s="82">
        <v>2959.69</v>
      </c>
      <c r="I660">
        <f>YEAR(tbl_dashboard_ejm[[#This Row],[Fecha]])</f>
        <v>2019</v>
      </c>
      <c r="J660" t="str">
        <f>TEXT(tbl_dashboard_ejm[[#This Row],[Fecha]],"MMMM")</f>
        <v>febrero</v>
      </c>
      <c r="K660">
        <f>WEEKNUM(tbl_dashboard_ejm[[#This Row],[Fecha]],2)</f>
        <v>8</v>
      </c>
    </row>
    <row r="661" spans="2:11" x14ac:dyDescent="0.3">
      <c r="B661" s="67">
        <v>43554</v>
      </c>
      <c r="C661" t="s">
        <v>160</v>
      </c>
      <c r="D661" t="s">
        <v>165</v>
      </c>
      <c r="E661" t="s">
        <v>162</v>
      </c>
      <c r="F661" t="s">
        <v>169</v>
      </c>
      <c r="G661" s="82">
        <v>2690</v>
      </c>
      <c r="H661" s="82">
        <v>833.9</v>
      </c>
      <c r="I661">
        <f>YEAR(tbl_dashboard_ejm[[#This Row],[Fecha]])</f>
        <v>2019</v>
      </c>
      <c r="J661" t="str">
        <f>TEXT(tbl_dashboard_ejm[[#This Row],[Fecha]],"MMMM")</f>
        <v>marzo</v>
      </c>
      <c r="K661">
        <f>WEEKNUM(tbl_dashboard_ejm[[#This Row],[Fecha]],2)</f>
        <v>13</v>
      </c>
    </row>
    <row r="662" spans="2:11" x14ac:dyDescent="0.3">
      <c r="B662" s="67">
        <v>43550</v>
      </c>
      <c r="C662" t="s">
        <v>164</v>
      </c>
      <c r="D662" t="s">
        <v>165</v>
      </c>
      <c r="E662" t="s">
        <v>166</v>
      </c>
      <c r="F662" t="s">
        <v>163</v>
      </c>
      <c r="G662" s="82">
        <v>10203</v>
      </c>
      <c r="H662" s="82">
        <v>4387.29</v>
      </c>
      <c r="I662">
        <f>YEAR(tbl_dashboard_ejm[[#This Row],[Fecha]])</f>
        <v>2019</v>
      </c>
      <c r="J662" t="str">
        <f>TEXT(tbl_dashboard_ejm[[#This Row],[Fecha]],"MMMM")</f>
        <v>marzo</v>
      </c>
      <c r="K662">
        <f>WEEKNUM(tbl_dashboard_ejm[[#This Row],[Fecha]],2)</f>
        <v>13</v>
      </c>
    </row>
    <row r="663" spans="2:11" x14ac:dyDescent="0.3">
      <c r="B663" s="67">
        <v>43549</v>
      </c>
      <c r="C663" t="s">
        <v>167</v>
      </c>
      <c r="D663" t="s">
        <v>165</v>
      </c>
      <c r="E663" t="s">
        <v>162</v>
      </c>
      <c r="F663" t="s">
        <v>169</v>
      </c>
      <c r="G663" s="82">
        <v>1631</v>
      </c>
      <c r="H663" s="82">
        <v>587.16</v>
      </c>
      <c r="I663">
        <f>YEAR(tbl_dashboard_ejm[[#This Row],[Fecha]])</f>
        <v>2019</v>
      </c>
      <c r="J663" t="str">
        <f>TEXT(tbl_dashboard_ejm[[#This Row],[Fecha]],"MMMM")</f>
        <v>marzo</v>
      </c>
      <c r="K663">
        <f>WEEKNUM(tbl_dashboard_ejm[[#This Row],[Fecha]],2)</f>
        <v>13</v>
      </c>
    </row>
    <row r="664" spans="2:11" x14ac:dyDescent="0.3">
      <c r="B664" s="67">
        <v>43549</v>
      </c>
      <c r="C664" t="s">
        <v>170</v>
      </c>
      <c r="D664" t="s">
        <v>161</v>
      </c>
      <c r="E664" t="s">
        <v>166</v>
      </c>
      <c r="F664" t="s">
        <v>169</v>
      </c>
      <c r="G664" s="82">
        <v>5025</v>
      </c>
      <c r="H664" s="82">
        <v>804</v>
      </c>
      <c r="I664">
        <f>YEAR(tbl_dashboard_ejm[[#This Row],[Fecha]])</f>
        <v>2019</v>
      </c>
      <c r="J664" t="str">
        <f>TEXT(tbl_dashboard_ejm[[#This Row],[Fecha]],"MMMM")</f>
        <v>marzo</v>
      </c>
      <c r="K664">
        <f>WEEKNUM(tbl_dashboard_ejm[[#This Row],[Fecha]],2)</f>
        <v>13</v>
      </c>
    </row>
    <row r="665" spans="2:11" x14ac:dyDescent="0.3">
      <c r="B665" s="67">
        <v>43549</v>
      </c>
      <c r="C665" t="s">
        <v>171</v>
      </c>
      <c r="D665" t="s">
        <v>165</v>
      </c>
      <c r="E665" t="s">
        <v>162</v>
      </c>
      <c r="F665" t="s">
        <v>169</v>
      </c>
      <c r="G665" s="82">
        <v>9670</v>
      </c>
      <c r="H665" s="82">
        <v>2514.1999999999998</v>
      </c>
      <c r="I665">
        <f>YEAR(tbl_dashboard_ejm[[#This Row],[Fecha]])</f>
        <v>2019</v>
      </c>
      <c r="J665" t="str">
        <f>TEXT(tbl_dashboard_ejm[[#This Row],[Fecha]],"MMMM")</f>
        <v>marzo</v>
      </c>
      <c r="K665">
        <f>WEEKNUM(tbl_dashboard_ejm[[#This Row],[Fecha]],2)</f>
        <v>13</v>
      </c>
    </row>
    <row r="666" spans="2:11" x14ac:dyDescent="0.3">
      <c r="B666" s="67">
        <v>43549</v>
      </c>
      <c r="C666" t="s">
        <v>172</v>
      </c>
      <c r="D666" t="s">
        <v>168</v>
      </c>
      <c r="E666" t="s">
        <v>162</v>
      </c>
      <c r="F666" t="s">
        <v>169</v>
      </c>
      <c r="G666" s="82">
        <v>8905</v>
      </c>
      <c r="H666" s="82">
        <v>3562</v>
      </c>
      <c r="I666">
        <f>YEAR(tbl_dashboard_ejm[[#This Row],[Fecha]])</f>
        <v>2019</v>
      </c>
      <c r="J666" t="str">
        <f>TEXT(tbl_dashboard_ejm[[#This Row],[Fecha]],"MMMM")</f>
        <v>marzo</v>
      </c>
      <c r="K666">
        <f>WEEKNUM(tbl_dashboard_ejm[[#This Row],[Fecha]],2)</f>
        <v>13</v>
      </c>
    </row>
    <row r="667" spans="2:11" x14ac:dyDescent="0.3">
      <c r="B667" s="67">
        <v>43548</v>
      </c>
      <c r="C667" t="s">
        <v>173</v>
      </c>
      <c r="D667" t="s">
        <v>161</v>
      </c>
      <c r="E667" t="s">
        <v>166</v>
      </c>
      <c r="F667" t="s">
        <v>169</v>
      </c>
      <c r="G667" s="82">
        <v>8001</v>
      </c>
      <c r="H667" s="82">
        <v>3200.4</v>
      </c>
      <c r="I667">
        <f>YEAR(tbl_dashboard_ejm[[#This Row],[Fecha]])</f>
        <v>2019</v>
      </c>
      <c r="J667" t="str">
        <f>TEXT(tbl_dashboard_ejm[[#This Row],[Fecha]],"MMMM")</f>
        <v>marzo</v>
      </c>
      <c r="K667">
        <f>WEEKNUM(tbl_dashboard_ejm[[#This Row],[Fecha]],2)</f>
        <v>12</v>
      </c>
    </row>
    <row r="668" spans="2:11" x14ac:dyDescent="0.3">
      <c r="B668" s="67">
        <v>43554</v>
      </c>
      <c r="C668" t="s">
        <v>174</v>
      </c>
      <c r="D668" t="s">
        <v>165</v>
      </c>
      <c r="E668" t="s">
        <v>162</v>
      </c>
      <c r="F668" t="s">
        <v>163</v>
      </c>
      <c r="G668" s="82">
        <v>6497</v>
      </c>
      <c r="H668" s="82">
        <v>1819.16</v>
      </c>
      <c r="I668">
        <f>YEAR(tbl_dashboard_ejm[[#This Row],[Fecha]])</f>
        <v>2019</v>
      </c>
      <c r="J668" t="str">
        <f>TEXT(tbl_dashboard_ejm[[#This Row],[Fecha]],"MMMM")</f>
        <v>marzo</v>
      </c>
      <c r="K668">
        <f>WEEKNUM(tbl_dashboard_ejm[[#This Row],[Fecha]],2)</f>
        <v>13</v>
      </c>
    </row>
    <row r="669" spans="2:11" x14ac:dyDescent="0.3">
      <c r="B669" s="67">
        <v>43554</v>
      </c>
      <c r="C669" t="s">
        <v>175</v>
      </c>
      <c r="D669" t="s">
        <v>168</v>
      </c>
      <c r="E669" t="s">
        <v>162</v>
      </c>
      <c r="F669" t="s">
        <v>163</v>
      </c>
      <c r="G669" s="82">
        <v>5836</v>
      </c>
      <c r="H669" s="82">
        <v>1050.48</v>
      </c>
      <c r="I669">
        <f>YEAR(tbl_dashboard_ejm[[#This Row],[Fecha]])</f>
        <v>2019</v>
      </c>
      <c r="J669" t="str">
        <f>TEXT(tbl_dashboard_ejm[[#This Row],[Fecha]],"MMMM")</f>
        <v>marzo</v>
      </c>
      <c r="K669">
        <f>WEEKNUM(tbl_dashboard_ejm[[#This Row],[Fecha]],2)</f>
        <v>13</v>
      </c>
    </row>
    <row r="670" spans="2:11" x14ac:dyDescent="0.3">
      <c r="B670" s="67">
        <v>43554</v>
      </c>
      <c r="C670" t="s">
        <v>176</v>
      </c>
      <c r="D670" t="s">
        <v>168</v>
      </c>
      <c r="E670" t="s">
        <v>162</v>
      </c>
      <c r="F670" t="s">
        <v>169</v>
      </c>
      <c r="G670" s="82">
        <v>4311</v>
      </c>
      <c r="H670" s="82">
        <v>1034.6400000000001</v>
      </c>
      <c r="I670">
        <f>YEAR(tbl_dashboard_ejm[[#This Row],[Fecha]])</f>
        <v>2019</v>
      </c>
      <c r="J670" t="str">
        <f>TEXT(tbl_dashboard_ejm[[#This Row],[Fecha]],"MMMM")</f>
        <v>marzo</v>
      </c>
      <c r="K670">
        <f>WEEKNUM(tbl_dashboard_ejm[[#This Row],[Fecha]],2)</f>
        <v>13</v>
      </c>
    </row>
    <row r="671" spans="2:11" x14ac:dyDescent="0.3">
      <c r="B671" s="67">
        <v>43554</v>
      </c>
      <c r="C671" t="s">
        <v>177</v>
      </c>
      <c r="D671" t="s">
        <v>165</v>
      </c>
      <c r="E671" t="s">
        <v>166</v>
      </c>
      <c r="F671" t="s">
        <v>169</v>
      </c>
      <c r="G671" s="82">
        <v>5278</v>
      </c>
      <c r="H671" s="82">
        <v>1108.3800000000001</v>
      </c>
      <c r="I671">
        <f>YEAR(tbl_dashboard_ejm[[#This Row],[Fecha]])</f>
        <v>2019</v>
      </c>
      <c r="J671" t="str">
        <f>TEXT(tbl_dashboard_ejm[[#This Row],[Fecha]],"MMMM")</f>
        <v>marzo</v>
      </c>
      <c r="K671">
        <f>WEEKNUM(tbl_dashboard_ejm[[#This Row],[Fecha]],2)</f>
        <v>13</v>
      </c>
    </row>
    <row r="672" spans="2:11" x14ac:dyDescent="0.3">
      <c r="B672" s="67">
        <v>43554</v>
      </c>
      <c r="C672" t="s">
        <v>178</v>
      </c>
      <c r="D672" t="s">
        <v>165</v>
      </c>
      <c r="E672" t="s">
        <v>162</v>
      </c>
      <c r="F672" t="s">
        <v>163</v>
      </c>
      <c r="G672" s="82">
        <v>4518</v>
      </c>
      <c r="H672" s="82">
        <v>1536.12</v>
      </c>
      <c r="I672">
        <f>YEAR(tbl_dashboard_ejm[[#This Row],[Fecha]])</f>
        <v>2019</v>
      </c>
      <c r="J672" t="str">
        <f>TEXT(tbl_dashboard_ejm[[#This Row],[Fecha]],"MMMM")</f>
        <v>marzo</v>
      </c>
      <c r="K672">
        <f>WEEKNUM(tbl_dashboard_ejm[[#This Row],[Fecha]],2)</f>
        <v>13</v>
      </c>
    </row>
    <row r="673" spans="2:11" x14ac:dyDescent="0.3">
      <c r="B673" s="67">
        <v>43554</v>
      </c>
      <c r="C673" t="s">
        <v>179</v>
      </c>
      <c r="D673" t="s">
        <v>165</v>
      </c>
      <c r="E673" t="s">
        <v>166</v>
      </c>
      <c r="F673" t="s">
        <v>163</v>
      </c>
      <c r="G673" s="82">
        <v>7167</v>
      </c>
      <c r="H673" s="82">
        <v>2580.12</v>
      </c>
      <c r="I673">
        <f>YEAR(tbl_dashboard_ejm[[#This Row],[Fecha]])</f>
        <v>2019</v>
      </c>
      <c r="J673" t="str">
        <f>TEXT(tbl_dashboard_ejm[[#This Row],[Fecha]],"MMMM")</f>
        <v>marzo</v>
      </c>
      <c r="K673">
        <f>WEEKNUM(tbl_dashboard_ejm[[#This Row],[Fecha]],2)</f>
        <v>13</v>
      </c>
    </row>
    <row r="674" spans="2:11" x14ac:dyDescent="0.3">
      <c r="B674" s="67">
        <v>43554</v>
      </c>
      <c r="C674" t="s">
        <v>180</v>
      </c>
      <c r="D674" t="s">
        <v>161</v>
      </c>
      <c r="E674" t="s">
        <v>166</v>
      </c>
      <c r="F674" t="s">
        <v>169</v>
      </c>
      <c r="G674" s="82">
        <v>8612</v>
      </c>
      <c r="H674" s="82">
        <v>1377.92</v>
      </c>
      <c r="I674">
        <f>YEAR(tbl_dashboard_ejm[[#This Row],[Fecha]])</f>
        <v>2019</v>
      </c>
      <c r="J674" t="str">
        <f>TEXT(tbl_dashboard_ejm[[#This Row],[Fecha]],"MMMM")</f>
        <v>marzo</v>
      </c>
      <c r="K674">
        <f>WEEKNUM(tbl_dashboard_ejm[[#This Row],[Fecha]],2)</f>
        <v>13</v>
      </c>
    </row>
    <row r="675" spans="2:11" x14ac:dyDescent="0.3">
      <c r="B675" s="67">
        <v>43550</v>
      </c>
      <c r="C675" t="s">
        <v>181</v>
      </c>
      <c r="D675" t="s">
        <v>161</v>
      </c>
      <c r="E675" t="s">
        <v>162</v>
      </c>
      <c r="F675" t="s">
        <v>163</v>
      </c>
      <c r="G675" s="82">
        <v>3078</v>
      </c>
      <c r="H675" s="82">
        <v>1385.1</v>
      </c>
      <c r="I675">
        <f>YEAR(tbl_dashboard_ejm[[#This Row],[Fecha]])</f>
        <v>2019</v>
      </c>
      <c r="J675" t="str">
        <f>TEXT(tbl_dashboard_ejm[[#This Row],[Fecha]],"MMMM")</f>
        <v>marzo</v>
      </c>
      <c r="K675">
        <f>WEEKNUM(tbl_dashboard_ejm[[#This Row],[Fecha]],2)</f>
        <v>13</v>
      </c>
    </row>
    <row r="676" spans="2:11" x14ac:dyDescent="0.3">
      <c r="B676" s="67">
        <v>43549</v>
      </c>
      <c r="C676" t="s">
        <v>182</v>
      </c>
      <c r="D676" t="s">
        <v>165</v>
      </c>
      <c r="E676" t="s">
        <v>162</v>
      </c>
      <c r="F676" t="s">
        <v>169</v>
      </c>
      <c r="G676" s="82">
        <v>6623</v>
      </c>
      <c r="H676" s="82">
        <v>2384.2800000000002</v>
      </c>
      <c r="I676">
        <f>YEAR(tbl_dashboard_ejm[[#This Row],[Fecha]])</f>
        <v>2019</v>
      </c>
      <c r="J676" t="str">
        <f>TEXT(tbl_dashboard_ejm[[#This Row],[Fecha]],"MMMM")</f>
        <v>marzo</v>
      </c>
      <c r="K676">
        <f>WEEKNUM(tbl_dashboard_ejm[[#This Row],[Fecha]],2)</f>
        <v>13</v>
      </c>
    </row>
    <row r="677" spans="2:11" x14ac:dyDescent="0.3">
      <c r="B677" s="67">
        <v>43549</v>
      </c>
      <c r="C677" t="s">
        <v>183</v>
      </c>
      <c r="D677" t="s">
        <v>168</v>
      </c>
      <c r="E677" t="s">
        <v>166</v>
      </c>
      <c r="F677" t="s">
        <v>169</v>
      </c>
      <c r="G677" s="82">
        <v>6153</v>
      </c>
      <c r="H677" s="82">
        <v>2030.49</v>
      </c>
      <c r="I677">
        <f>YEAR(tbl_dashboard_ejm[[#This Row],[Fecha]])</f>
        <v>2019</v>
      </c>
      <c r="J677" t="str">
        <f>TEXT(tbl_dashboard_ejm[[#This Row],[Fecha]],"MMMM")</f>
        <v>marzo</v>
      </c>
      <c r="K677">
        <f>WEEKNUM(tbl_dashboard_ejm[[#This Row],[Fecha]],2)</f>
        <v>13</v>
      </c>
    </row>
    <row r="678" spans="2:11" x14ac:dyDescent="0.3">
      <c r="B678" s="67">
        <v>43549</v>
      </c>
      <c r="C678" t="s">
        <v>184</v>
      </c>
      <c r="D678" t="s">
        <v>168</v>
      </c>
      <c r="E678" t="s">
        <v>166</v>
      </c>
      <c r="F678" t="s">
        <v>169</v>
      </c>
      <c r="G678" s="82">
        <v>8954</v>
      </c>
      <c r="H678" s="82">
        <v>1880.34</v>
      </c>
      <c r="I678">
        <f>YEAR(tbl_dashboard_ejm[[#This Row],[Fecha]])</f>
        <v>2019</v>
      </c>
      <c r="J678" t="str">
        <f>TEXT(tbl_dashboard_ejm[[#This Row],[Fecha]],"MMMM")</f>
        <v>marzo</v>
      </c>
      <c r="K678">
        <f>WEEKNUM(tbl_dashboard_ejm[[#This Row],[Fecha]],2)</f>
        <v>13</v>
      </c>
    </row>
    <row r="679" spans="2:11" x14ac:dyDescent="0.3">
      <c r="B679" s="67">
        <v>43549</v>
      </c>
      <c r="C679" t="s">
        <v>185</v>
      </c>
      <c r="D679" t="s">
        <v>165</v>
      </c>
      <c r="E679" t="s">
        <v>166</v>
      </c>
      <c r="F679" t="s">
        <v>169</v>
      </c>
      <c r="G679" s="82">
        <v>5985</v>
      </c>
      <c r="H679" s="82">
        <v>957.6</v>
      </c>
      <c r="I679">
        <f>YEAR(tbl_dashboard_ejm[[#This Row],[Fecha]])</f>
        <v>2019</v>
      </c>
      <c r="J679" t="str">
        <f>TEXT(tbl_dashboard_ejm[[#This Row],[Fecha]],"MMMM")</f>
        <v>marzo</v>
      </c>
      <c r="K679">
        <f>WEEKNUM(tbl_dashboard_ejm[[#This Row],[Fecha]],2)</f>
        <v>13</v>
      </c>
    </row>
    <row r="680" spans="2:11" x14ac:dyDescent="0.3">
      <c r="B680" s="67">
        <v>43548</v>
      </c>
      <c r="C680" t="s">
        <v>186</v>
      </c>
      <c r="D680" t="s">
        <v>165</v>
      </c>
      <c r="E680" t="s">
        <v>162</v>
      </c>
      <c r="F680" t="s">
        <v>169</v>
      </c>
      <c r="G680" s="82">
        <v>2063</v>
      </c>
      <c r="H680" s="82">
        <v>309.45</v>
      </c>
      <c r="I680">
        <f>YEAR(tbl_dashboard_ejm[[#This Row],[Fecha]])</f>
        <v>2019</v>
      </c>
      <c r="J680" t="str">
        <f>TEXT(tbl_dashboard_ejm[[#This Row],[Fecha]],"MMMM")</f>
        <v>marzo</v>
      </c>
      <c r="K680">
        <f>WEEKNUM(tbl_dashboard_ejm[[#This Row],[Fecha]],2)</f>
        <v>12</v>
      </c>
    </row>
    <row r="681" spans="2:11" x14ac:dyDescent="0.3">
      <c r="B681" s="67">
        <v>43555</v>
      </c>
      <c r="C681" t="s">
        <v>187</v>
      </c>
      <c r="D681" t="s">
        <v>165</v>
      </c>
      <c r="E681" t="s">
        <v>166</v>
      </c>
      <c r="F681" t="s">
        <v>163</v>
      </c>
      <c r="G681" s="82">
        <v>8310</v>
      </c>
      <c r="H681" s="82">
        <v>2326.8000000000002</v>
      </c>
      <c r="I681">
        <f>YEAR(tbl_dashboard_ejm[[#This Row],[Fecha]])</f>
        <v>2019</v>
      </c>
      <c r="J681" t="str">
        <f>TEXT(tbl_dashboard_ejm[[#This Row],[Fecha]],"MMMM")</f>
        <v>marzo</v>
      </c>
      <c r="K681">
        <f>WEEKNUM(tbl_dashboard_ejm[[#This Row],[Fecha]],2)</f>
        <v>13</v>
      </c>
    </row>
    <row r="682" spans="2:11" x14ac:dyDescent="0.3">
      <c r="B682" s="67">
        <v>43555</v>
      </c>
      <c r="C682" t="s">
        <v>188</v>
      </c>
      <c r="D682" t="s">
        <v>161</v>
      </c>
      <c r="E682" t="s">
        <v>162</v>
      </c>
      <c r="F682" t="s">
        <v>163</v>
      </c>
      <c r="G682" s="82">
        <v>10620</v>
      </c>
      <c r="H682" s="82">
        <v>4566.6000000000004</v>
      </c>
      <c r="I682">
        <f>YEAR(tbl_dashboard_ejm[[#This Row],[Fecha]])</f>
        <v>2019</v>
      </c>
      <c r="J682" t="str">
        <f>TEXT(tbl_dashboard_ejm[[#This Row],[Fecha]],"MMMM")</f>
        <v>marzo</v>
      </c>
      <c r="K682">
        <f>WEEKNUM(tbl_dashboard_ejm[[#This Row],[Fecha]],2)</f>
        <v>13</v>
      </c>
    </row>
    <row r="683" spans="2:11" x14ac:dyDescent="0.3">
      <c r="B683" s="67">
        <v>43555</v>
      </c>
      <c r="C683" t="s">
        <v>189</v>
      </c>
      <c r="D683" t="s">
        <v>165</v>
      </c>
      <c r="E683" t="s">
        <v>162</v>
      </c>
      <c r="F683" t="s">
        <v>169</v>
      </c>
      <c r="G683" s="82">
        <v>11451</v>
      </c>
      <c r="H683" s="82">
        <v>1946.67</v>
      </c>
      <c r="I683">
        <f>YEAR(tbl_dashboard_ejm[[#This Row],[Fecha]])</f>
        <v>2019</v>
      </c>
      <c r="J683" t="str">
        <f>TEXT(tbl_dashboard_ejm[[#This Row],[Fecha]],"MMMM")</f>
        <v>marzo</v>
      </c>
      <c r="K683">
        <f>WEEKNUM(tbl_dashboard_ejm[[#This Row],[Fecha]],2)</f>
        <v>13</v>
      </c>
    </row>
    <row r="684" spans="2:11" x14ac:dyDescent="0.3">
      <c r="B684" s="67">
        <v>43585</v>
      </c>
      <c r="C684" t="s">
        <v>160</v>
      </c>
      <c r="D684" t="s">
        <v>165</v>
      </c>
      <c r="E684" t="s">
        <v>162</v>
      </c>
      <c r="F684" t="s">
        <v>169</v>
      </c>
      <c r="G684" s="82">
        <v>5236</v>
      </c>
      <c r="H684" s="82">
        <v>1047.2</v>
      </c>
      <c r="I684">
        <f>YEAR(tbl_dashboard_ejm[[#This Row],[Fecha]])</f>
        <v>2019</v>
      </c>
      <c r="J684" t="str">
        <f>TEXT(tbl_dashboard_ejm[[#This Row],[Fecha]],"MMMM")</f>
        <v>abril</v>
      </c>
      <c r="K684">
        <f>WEEKNUM(tbl_dashboard_ejm[[#This Row],[Fecha]],2)</f>
        <v>18</v>
      </c>
    </row>
    <row r="685" spans="2:11" x14ac:dyDescent="0.3">
      <c r="B685" s="67">
        <v>43585</v>
      </c>
      <c r="C685" t="s">
        <v>164</v>
      </c>
      <c r="D685" t="s">
        <v>168</v>
      </c>
      <c r="E685" t="s">
        <v>162</v>
      </c>
      <c r="F685" t="s">
        <v>163</v>
      </c>
      <c r="G685" s="82">
        <v>5760</v>
      </c>
      <c r="H685" s="82">
        <v>1324.8</v>
      </c>
      <c r="I685">
        <f>YEAR(tbl_dashboard_ejm[[#This Row],[Fecha]])</f>
        <v>2019</v>
      </c>
      <c r="J685" t="str">
        <f>TEXT(tbl_dashboard_ejm[[#This Row],[Fecha]],"MMMM")</f>
        <v>abril</v>
      </c>
      <c r="K685">
        <f>WEEKNUM(tbl_dashboard_ejm[[#This Row],[Fecha]],2)</f>
        <v>18</v>
      </c>
    </row>
    <row r="686" spans="2:11" x14ac:dyDescent="0.3">
      <c r="B686" s="67">
        <v>43585</v>
      </c>
      <c r="C686" t="s">
        <v>167</v>
      </c>
      <c r="D686" t="s">
        <v>165</v>
      </c>
      <c r="E686" t="s">
        <v>162</v>
      </c>
      <c r="F686" t="s">
        <v>163</v>
      </c>
      <c r="G686" s="82">
        <v>3643</v>
      </c>
      <c r="H686" s="82">
        <v>1602.92</v>
      </c>
      <c r="I686">
        <f>YEAR(tbl_dashboard_ejm[[#This Row],[Fecha]])</f>
        <v>2019</v>
      </c>
      <c r="J686" t="str">
        <f>TEXT(tbl_dashboard_ejm[[#This Row],[Fecha]],"MMMM")</f>
        <v>abril</v>
      </c>
      <c r="K686">
        <f>WEEKNUM(tbl_dashboard_ejm[[#This Row],[Fecha]],2)</f>
        <v>18</v>
      </c>
    </row>
    <row r="687" spans="2:11" x14ac:dyDescent="0.3">
      <c r="B687" s="67">
        <v>43585</v>
      </c>
      <c r="C687" t="s">
        <v>170</v>
      </c>
      <c r="D687" t="s">
        <v>161</v>
      </c>
      <c r="E687" t="s">
        <v>162</v>
      </c>
      <c r="F687" t="s">
        <v>169</v>
      </c>
      <c r="G687" s="82">
        <v>7106</v>
      </c>
      <c r="H687" s="82">
        <v>2344.98</v>
      </c>
      <c r="I687">
        <f>YEAR(tbl_dashboard_ejm[[#This Row],[Fecha]])</f>
        <v>2019</v>
      </c>
      <c r="J687" t="str">
        <f>TEXT(tbl_dashboard_ejm[[#This Row],[Fecha]],"MMMM")</f>
        <v>abril</v>
      </c>
      <c r="K687">
        <f>WEEKNUM(tbl_dashboard_ejm[[#This Row],[Fecha]],2)</f>
        <v>18</v>
      </c>
    </row>
    <row r="688" spans="2:11" x14ac:dyDescent="0.3">
      <c r="B688" s="67">
        <v>43581</v>
      </c>
      <c r="C688" t="s">
        <v>171</v>
      </c>
      <c r="D688" t="s">
        <v>161</v>
      </c>
      <c r="E688" t="s">
        <v>162</v>
      </c>
      <c r="F688" t="s">
        <v>163</v>
      </c>
      <c r="G688" s="82">
        <v>4744</v>
      </c>
      <c r="H688" s="82">
        <v>1423.2</v>
      </c>
      <c r="I688">
        <f>YEAR(tbl_dashboard_ejm[[#This Row],[Fecha]])</f>
        <v>2019</v>
      </c>
      <c r="J688" t="str">
        <f>TEXT(tbl_dashboard_ejm[[#This Row],[Fecha]],"MMMM")</f>
        <v>abril</v>
      </c>
      <c r="K688">
        <f>WEEKNUM(tbl_dashboard_ejm[[#This Row],[Fecha]],2)</f>
        <v>17</v>
      </c>
    </row>
    <row r="689" spans="2:11" x14ac:dyDescent="0.3">
      <c r="B689" s="67">
        <v>43580</v>
      </c>
      <c r="C689" t="s">
        <v>172</v>
      </c>
      <c r="D689" t="s">
        <v>161</v>
      </c>
      <c r="E689" t="s">
        <v>166</v>
      </c>
      <c r="F689" t="s">
        <v>169</v>
      </c>
      <c r="G689" s="82">
        <v>7525</v>
      </c>
      <c r="H689" s="82">
        <v>1505</v>
      </c>
      <c r="I689">
        <f>YEAR(tbl_dashboard_ejm[[#This Row],[Fecha]])</f>
        <v>2019</v>
      </c>
      <c r="J689" t="str">
        <f>TEXT(tbl_dashboard_ejm[[#This Row],[Fecha]],"MMMM")</f>
        <v>abril</v>
      </c>
      <c r="K689">
        <f>WEEKNUM(tbl_dashboard_ejm[[#This Row],[Fecha]],2)</f>
        <v>17</v>
      </c>
    </row>
    <row r="690" spans="2:11" x14ac:dyDescent="0.3">
      <c r="B690" s="67">
        <v>43580</v>
      </c>
      <c r="C690" t="s">
        <v>173</v>
      </c>
      <c r="D690" t="s">
        <v>168</v>
      </c>
      <c r="E690" t="s">
        <v>166</v>
      </c>
      <c r="F690" t="s">
        <v>169</v>
      </c>
      <c r="G690" s="82">
        <v>5913</v>
      </c>
      <c r="H690" s="82">
        <v>1655.64</v>
      </c>
      <c r="I690">
        <f>YEAR(tbl_dashboard_ejm[[#This Row],[Fecha]])</f>
        <v>2019</v>
      </c>
      <c r="J690" t="str">
        <f>TEXT(tbl_dashboard_ejm[[#This Row],[Fecha]],"MMMM")</f>
        <v>abril</v>
      </c>
      <c r="K690">
        <f>WEEKNUM(tbl_dashboard_ejm[[#This Row],[Fecha]],2)</f>
        <v>17</v>
      </c>
    </row>
    <row r="691" spans="2:11" x14ac:dyDescent="0.3">
      <c r="B691" s="67">
        <v>43580</v>
      </c>
      <c r="C691" t="s">
        <v>174</v>
      </c>
      <c r="D691" t="s">
        <v>161</v>
      </c>
      <c r="E691" t="s">
        <v>162</v>
      </c>
      <c r="F691" t="s">
        <v>169</v>
      </c>
      <c r="G691" s="82">
        <v>3209</v>
      </c>
      <c r="H691" s="82">
        <v>1251.51</v>
      </c>
      <c r="I691">
        <f>YEAR(tbl_dashboard_ejm[[#This Row],[Fecha]])</f>
        <v>2019</v>
      </c>
      <c r="J691" t="str">
        <f>TEXT(tbl_dashboard_ejm[[#This Row],[Fecha]],"MMMM")</f>
        <v>abril</v>
      </c>
      <c r="K691">
        <f>WEEKNUM(tbl_dashboard_ejm[[#This Row],[Fecha]],2)</f>
        <v>17</v>
      </c>
    </row>
    <row r="692" spans="2:11" x14ac:dyDescent="0.3">
      <c r="B692" s="67">
        <v>43580</v>
      </c>
      <c r="C692" t="s">
        <v>175</v>
      </c>
      <c r="D692" t="s">
        <v>161</v>
      </c>
      <c r="E692" t="s">
        <v>166</v>
      </c>
      <c r="F692" t="s">
        <v>169</v>
      </c>
      <c r="G692" s="82">
        <v>7110</v>
      </c>
      <c r="H692" s="82">
        <v>2630.7</v>
      </c>
      <c r="I692">
        <f>YEAR(tbl_dashboard_ejm[[#This Row],[Fecha]])</f>
        <v>2019</v>
      </c>
      <c r="J692" t="str">
        <f>TEXT(tbl_dashboard_ejm[[#This Row],[Fecha]],"MMMM")</f>
        <v>abril</v>
      </c>
      <c r="K692">
        <f>WEEKNUM(tbl_dashboard_ejm[[#This Row],[Fecha]],2)</f>
        <v>17</v>
      </c>
    </row>
    <row r="693" spans="2:11" x14ac:dyDescent="0.3">
      <c r="B693" s="67">
        <v>43579</v>
      </c>
      <c r="C693" t="s">
        <v>176</v>
      </c>
      <c r="D693" t="s">
        <v>168</v>
      </c>
      <c r="E693" t="s">
        <v>162</v>
      </c>
      <c r="F693" t="s">
        <v>169</v>
      </c>
      <c r="G693" s="82">
        <v>8711</v>
      </c>
      <c r="H693" s="82">
        <v>3919.95</v>
      </c>
      <c r="I693">
        <f>YEAR(tbl_dashboard_ejm[[#This Row],[Fecha]])</f>
        <v>2019</v>
      </c>
      <c r="J693" t="str">
        <f>TEXT(tbl_dashboard_ejm[[#This Row],[Fecha]],"MMMM")</f>
        <v>abril</v>
      </c>
      <c r="K693">
        <f>WEEKNUM(tbl_dashboard_ejm[[#This Row],[Fecha]],2)</f>
        <v>17</v>
      </c>
    </row>
    <row r="694" spans="2:11" x14ac:dyDescent="0.3">
      <c r="B694" s="67">
        <v>43585</v>
      </c>
      <c r="C694" t="s">
        <v>177</v>
      </c>
      <c r="D694" t="s">
        <v>161</v>
      </c>
      <c r="E694" t="s">
        <v>162</v>
      </c>
      <c r="F694" t="s">
        <v>163</v>
      </c>
      <c r="G694" s="82">
        <v>7404</v>
      </c>
      <c r="H694" s="82">
        <v>1258.68</v>
      </c>
      <c r="I694">
        <f>YEAR(tbl_dashboard_ejm[[#This Row],[Fecha]])</f>
        <v>2019</v>
      </c>
      <c r="J694" t="str">
        <f>TEXT(tbl_dashboard_ejm[[#This Row],[Fecha]],"MMMM")</f>
        <v>abril</v>
      </c>
      <c r="K694">
        <f>WEEKNUM(tbl_dashboard_ejm[[#This Row],[Fecha]],2)</f>
        <v>18</v>
      </c>
    </row>
    <row r="695" spans="2:11" x14ac:dyDescent="0.3">
      <c r="B695" s="67">
        <v>43585</v>
      </c>
      <c r="C695" t="s">
        <v>178</v>
      </c>
      <c r="D695" t="s">
        <v>168</v>
      </c>
      <c r="E695" t="s">
        <v>162</v>
      </c>
      <c r="F695" t="s">
        <v>163</v>
      </c>
      <c r="G695" s="82">
        <v>9596</v>
      </c>
      <c r="H695" s="82">
        <v>3070.72</v>
      </c>
      <c r="I695">
        <f>YEAR(tbl_dashboard_ejm[[#This Row],[Fecha]])</f>
        <v>2019</v>
      </c>
      <c r="J695" t="str">
        <f>TEXT(tbl_dashboard_ejm[[#This Row],[Fecha]],"MMMM")</f>
        <v>abril</v>
      </c>
      <c r="K695">
        <f>WEEKNUM(tbl_dashboard_ejm[[#This Row],[Fecha]],2)</f>
        <v>18</v>
      </c>
    </row>
    <row r="696" spans="2:11" x14ac:dyDescent="0.3">
      <c r="B696" s="67">
        <v>43585</v>
      </c>
      <c r="C696" t="s">
        <v>179</v>
      </c>
      <c r="D696" t="s">
        <v>168</v>
      </c>
      <c r="E696" t="s">
        <v>166</v>
      </c>
      <c r="F696" t="s">
        <v>169</v>
      </c>
      <c r="G696" s="82">
        <v>5804</v>
      </c>
      <c r="H696" s="82">
        <v>1683.16</v>
      </c>
      <c r="I696">
        <f>YEAR(tbl_dashboard_ejm[[#This Row],[Fecha]])</f>
        <v>2019</v>
      </c>
      <c r="J696" t="str">
        <f>TEXT(tbl_dashboard_ejm[[#This Row],[Fecha]],"MMMM")</f>
        <v>abril</v>
      </c>
      <c r="K696">
        <f>WEEKNUM(tbl_dashboard_ejm[[#This Row],[Fecha]],2)</f>
        <v>18</v>
      </c>
    </row>
    <row r="697" spans="2:11" x14ac:dyDescent="0.3">
      <c r="B697" s="67">
        <v>43585</v>
      </c>
      <c r="C697" t="s">
        <v>180</v>
      </c>
      <c r="D697" t="s">
        <v>168</v>
      </c>
      <c r="E697" t="s">
        <v>162</v>
      </c>
      <c r="F697" t="s">
        <v>169</v>
      </c>
      <c r="G697" s="82">
        <v>8169</v>
      </c>
      <c r="H697" s="82">
        <v>1470.42</v>
      </c>
      <c r="I697">
        <f>YEAR(tbl_dashboard_ejm[[#This Row],[Fecha]])</f>
        <v>2019</v>
      </c>
      <c r="J697" t="str">
        <f>TEXT(tbl_dashboard_ejm[[#This Row],[Fecha]],"MMMM")</f>
        <v>abril</v>
      </c>
      <c r="K697">
        <f>WEEKNUM(tbl_dashboard_ejm[[#This Row],[Fecha]],2)</f>
        <v>18</v>
      </c>
    </row>
    <row r="698" spans="2:11" x14ac:dyDescent="0.3">
      <c r="B698" s="67">
        <v>43585</v>
      </c>
      <c r="C698" t="s">
        <v>181</v>
      </c>
      <c r="D698" t="s">
        <v>168</v>
      </c>
      <c r="E698" t="s">
        <v>166</v>
      </c>
      <c r="F698" t="s">
        <v>163</v>
      </c>
      <c r="G698" s="82">
        <v>9516</v>
      </c>
      <c r="H698" s="82">
        <v>2949.96</v>
      </c>
      <c r="I698">
        <f>YEAR(tbl_dashboard_ejm[[#This Row],[Fecha]])</f>
        <v>2019</v>
      </c>
      <c r="J698" t="str">
        <f>TEXT(tbl_dashboard_ejm[[#This Row],[Fecha]],"MMMM")</f>
        <v>abril</v>
      </c>
      <c r="K698">
        <f>WEEKNUM(tbl_dashboard_ejm[[#This Row],[Fecha]],2)</f>
        <v>18</v>
      </c>
    </row>
    <row r="699" spans="2:11" x14ac:dyDescent="0.3">
      <c r="B699" s="67">
        <v>43585</v>
      </c>
      <c r="C699" t="s">
        <v>182</v>
      </c>
      <c r="D699" t="s">
        <v>165</v>
      </c>
      <c r="E699" t="s">
        <v>166</v>
      </c>
      <c r="F699" t="s">
        <v>163</v>
      </c>
      <c r="G699" s="82">
        <v>5780</v>
      </c>
      <c r="H699" s="82">
        <v>2543.1999999999998</v>
      </c>
      <c r="I699">
        <f>YEAR(tbl_dashboard_ejm[[#This Row],[Fecha]])</f>
        <v>2019</v>
      </c>
      <c r="J699" t="str">
        <f>TEXT(tbl_dashboard_ejm[[#This Row],[Fecha]],"MMMM")</f>
        <v>abril</v>
      </c>
      <c r="K699">
        <f>WEEKNUM(tbl_dashboard_ejm[[#This Row],[Fecha]],2)</f>
        <v>18</v>
      </c>
    </row>
    <row r="700" spans="2:11" x14ac:dyDescent="0.3">
      <c r="B700" s="67">
        <v>43585</v>
      </c>
      <c r="C700" t="s">
        <v>183</v>
      </c>
      <c r="D700" t="s">
        <v>168</v>
      </c>
      <c r="E700" t="s">
        <v>166</v>
      </c>
      <c r="F700" t="s">
        <v>169</v>
      </c>
      <c r="G700" s="82">
        <v>4745</v>
      </c>
      <c r="H700" s="82">
        <v>1233.7</v>
      </c>
      <c r="I700">
        <f>YEAR(tbl_dashboard_ejm[[#This Row],[Fecha]])</f>
        <v>2019</v>
      </c>
      <c r="J700" t="str">
        <f>TEXT(tbl_dashboard_ejm[[#This Row],[Fecha]],"MMMM")</f>
        <v>abril</v>
      </c>
      <c r="K700">
        <f>WEEKNUM(tbl_dashboard_ejm[[#This Row],[Fecha]],2)</f>
        <v>18</v>
      </c>
    </row>
    <row r="701" spans="2:11" x14ac:dyDescent="0.3">
      <c r="B701" s="67">
        <v>43581</v>
      </c>
      <c r="C701" t="s">
        <v>184</v>
      </c>
      <c r="D701" t="s">
        <v>161</v>
      </c>
      <c r="E701" t="s">
        <v>162</v>
      </c>
      <c r="F701" t="s">
        <v>163</v>
      </c>
      <c r="G701" s="82">
        <v>10863</v>
      </c>
      <c r="H701" s="82">
        <v>3584.79</v>
      </c>
      <c r="I701">
        <f>YEAR(tbl_dashboard_ejm[[#This Row],[Fecha]])</f>
        <v>2019</v>
      </c>
      <c r="J701" t="str">
        <f>TEXT(tbl_dashboard_ejm[[#This Row],[Fecha]],"MMMM")</f>
        <v>abril</v>
      </c>
      <c r="K701">
        <f>WEEKNUM(tbl_dashboard_ejm[[#This Row],[Fecha]],2)</f>
        <v>17</v>
      </c>
    </row>
    <row r="702" spans="2:11" x14ac:dyDescent="0.3">
      <c r="B702" s="67">
        <v>43580</v>
      </c>
      <c r="C702" t="s">
        <v>185</v>
      </c>
      <c r="D702" t="s">
        <v>165</v>
      </c>
      <c r="E702" t="s">
        <v>162</v>
      </c>
      <c r="F702" t="s">
        <v>169</v>
      </c>
      <c r="G702" s="82">
        <v>4695</v>
      </c>
      <c r="H702" s="82">
        <v>939</v>
      </c>
      <c r="I702">
        <f>YEAR(tbl_dashboard_ejm[[#This Row],[Fecha]])</f>
        <v>2019</v>
      </c>
      <c r="J702" t="str">
        <f>TEXT(tbl_dashboard_ejm[[#This Row],[Fecha]],"MMMM")</f>
        <v>abril</v>
      </c>
      <c r="K702">
        <f>WEEKNUM(tbl_dashboard_ejm[[#This Row],[Fecha]],2)</f>
        <v>17</v>
      </c>
    </row>
    <row r="703" spans="2:11" x14ac:dyDescent="0.3">
      <c r="B703" s="67">
        <v>43580</v>
      </c>
      <c r="C703" t="s">
        <v>186</v>
      </c>
      <c r="D703" t="s">
        <v>168</v>
      </c>
      <c r="E703" t="s">
        <v>162</v>
      </c>
      <c r="F703" t="s">
        <v>169</v>
      </c>
      <c r="G703" s="82">
        <v>8700</v>
      </c>
      <c r="H703" s="82">
        <v>3654</v>
      </c>
      <c r="I703">
        <f>YEAR(tbl_dashboard_ejm[[#This Row],[Fecha]])</f>
        <v>2019</v>
      </c>
      <c r="J703" t="str">
        <f>TEXT(tbl_dashboard_ejm[[#This Row],[Fecha]],"MMMM")</f>
        <v>abril</v>
      </c>
      <c r="K703">
        <f>WEEKNUM(tbl_dashboard_ejm[[#This Row],[Fecha]],2)</f>
        <v>17</v>
      </c>
    </row>
    <row r="704" spans="2:11" x14ac:dyDescent="0.3">
      <c r="B704" s="67">
        <v>43580</v>
      </c>
      <c r="C704" t="s">
        <v>187</v>
      </c>
      <c r="D704" t="s">
        <v>165</v>
      </c>
      <c r="E704" t="s">
        <v>162</v>
      </c>
      <c r="F704" t="s">
        <v>169</v>
      </c>
      <c r="G704" s="82">
        <v>3430</v>
      </c>
      <c r="H704" s="82">
        <v>1234.8</v>
      </c>
      <c r="I704">
        <f>YEAR(tbl_dashboard_ejm[[#This Row],[Fecha]])</f>
        <v>2019</v>
      </c>
      <c r="J704" t="str">
        <f>TEXT(tbl_dashboard_ejm[[#This Row],[Fecha]],"MMMM")</f>
        <v>abril</v>
      </c>
      <c r="K704">
        <f>WEEKNUM(tbl_dashboard_ejm[[#This Row],[Fecha]],2)</f>
        <v>17</v>
      </c>
    </row>
    <row r="705" spans="2:11" x14ac:dyDescent="0.3">
      <c r="B705" s="67">
        <v>43580</v>
      </c>
      <c r="C705" t="s">
        <v>188</v>
      </c>
      <c r="D705" t="s">
        <v>165</v>
      </c>
      <c r="E705" t="s">
        <v>166</v>
      </c>
      <c r="F705" t="s">
        <v>169</v>
      </c>
      <c r="G705" s="82">
        <v>7264</v>
      </c>
      <c r="H705" s="82">
        <v>1380.16</v>
      </c>
      <c r="I705">
        <f>YEAR(tbl_dashboard_ejm[[#This Row],[Fecha]])</f>
        <v>2019</v>
      </c>
      <c r="J705" t="str">
        <f>TEXT(tbl_dashboard_ejm[[#This Row],[Fecha]],"MMMM")</f>
        <v>abril</v>
      </c>
      <c r="K705">
        <f>WEEKNUM(tbl_dashboard_ejm[[#This Row],[Fecha]],2)</f>
        <v>17</v>
      </c>
    </row>
    <row r="706" spans="2:11" x14ac:dyDescent="0.3">
      <c r="B706" s="67">
        <v>43579</v>
      </c>
      <c r="C706" t="s">
        <v>189</v>
      </c>
      <c r="D706" t="s">
        <v>165</v>
      </c>
      <c r="E706" t="s">
        <v>162</v>
      </c>
      <c r="F706" t="s">
        <v>169</v>
      </c>
      <c r="G706" s="82">
        <v>3340</v>
      </c>
      <c r="H706" s="82">
        <v>668</v>
      </c>
      <c r="I706">
        <f>YEAR(tbl_dashboard_ejm[[#This Row],[Fecha]])</f>
        <v>2019</v>
      </c>
      <c r="J706" t="str">
        <f>TEXT(tbl_dashboard_ejm[[#This Row],[Fecha]],"MMMM")</f>
        <v>abril</v>
      </c>
      <c r="K706">
        <f>WEEKNUM(tbl_dashboard_ejm[[#This Row],[Fecha]],2)</f>
        <v>17</v>
      </c>
    </row>
    <row r="707" spans="2:11" x14ac:dyDescent="0.3">
      <c r="B707" s="67">
        <v>43616</v>
      </c>
      <c r="C707" t="s">
        <v>160</v>
      </c>
      <c r="D707" t="s">
        <v>161</v>
      </c>
      <c r="E707" t="s">
        <v>162</v>
      </c>
      <c r="F707" t="s">
        <v>163</v>
      </c>
      <c r="G707" s="82">
        <v>2906</v>
      </c>
      <c r="H707" s="82">
        <v>1278.6400000000001</v>
      </c>
      <c r="I707">
        <f>YEAR(tbl_dashboard_ejm[[#This Row],[Fecha]])</f>
        <v>2019</v>
      </c>
      <c r="J707" t="str">
        <f>TEXT(tbl_dashboard_ejm[[#This Row],[Fecha]],"MMMM")</f>
        <v>mayo</v>
      </c>
      <c r="K707">
        <f>WEEKNUM(tbl_dashboard_ejm[[#This Row],[Fecha]],2)</f>
        <v>22</v>
      </c>
    </row>
    <row r="708" spans="2:11" x14ac:dyDescent="0.3">
      <c r="B708" s="67">
        <v>43616</v>
      </c>
      <c r="C708" t="s">
        <v>164</v>
      </c>
      <c r="D708" t="s">
        <v>165</v>
      </c>
      <c r="E708" t="s">
        <v>166</v>
      </c>
      <c r="F708" t="s">
        <v>163</v>
      </c>
      <c r="G708" s="82">
        <v>9058</v>
      </c>
      <c r="H708" s="82">
        <v>3623.2</v>
      </c>
      <c r="I708">
        <f>YEAR(tbl_dashboard_ejm[[#This Row],[Fecha]])</f>
        <v>2019</v>
      </c>
      <c r="J708" t="str">
        <f>TEXT(tbl_dashboard_ejm[[#This Row],[Fecha]],"MMMM")</f>
        <v>mayo</v>
      </c>
      <c r="K708">
        <f>WEEKNUM(tbl_dashboard_ejm[[#This Row],[Fecha]],2)</f>
        <v>22</v>
      </c>
    </row>
    <row r="709" spans="2:11" x14ac:dyDescent="0.3">
      <c r="B709" s="67">
        <v>43616</v>
      </c>
      <c r="C709" t="s">
        <v>167</v>
      </c>
      <c r="D709" t="s">
        <v>168</v>
      </c>
      <c r="E709" t="s">
        <v>166</v>
      </c>
      <c r="F709" t="s">
        <v>169</v>
      </c>
      <c r="G709" s="82">
        <v>5570</v>
      </c>
      <c r="H709" s="82">
        <v>1002.6</v>
      </c>
      <c r="I709">
        <f>YEAR(tbl_dashboard_ejm[[#This Row],[Fecha]])</f>
        <v>2019</v>
      </c>
      <c r="J709" t="str">
        <f>TEXT(tbl_dashboard_ejm[[#This Row],[Fecha]],"MMMM")</f>
        <v>mayo</v>
      </c>
      <c r="K709">
        <f>WEEKNUM(tbl_dashboard_ejm[[#This Row],[Fecha]],2)</f>
        <v>22</v>
      </c>
    </row>
    <row r="710" spans="2:11" x14ac:dyDescent="0.3">
      <c r="B710" s="67">
        <v>43616</v>
      </c>
      <c r="C710" t="s">
        <v>170</v>
      </c>
      <c r="D710" t="s">
        <v>161</v>
      </c>
      <c r="E710" t="s">
        <v>162</v>
      </c>
      <c r="F710" t="s">
        <v>169</v>
      </c>
      <c r="G710" s="82">
        <v>8034</v>
      </c>
      <c r="H710" s="82">
        <v>2972.58</v>
      </c>
      <c r="I710">
        <f>YEAR(tbl_dashboard_ejm[[#This Row],[Fecha]])</f>
        <v>2019</v>
      </c>
      <c r="J710" t="str">
        <f>TEXT(tbl_dashboard_ejm[[#This Row],[Fecha]],"MMMM")</f>
        <v>mayo</v>
      </c>
      <c r="K710">
        <f>WEEKNUM(tbl_dashboard_ejm[[#This Row],[Fecha]],2)</f>
        <v>22</v>
      </c>
    </row>
    <row r="711" spans="2:11" x14ac:dyDescent="0.3">
      <c r="B711" s="67">
        <v>43616</v>
      </c>
      <c r="C711" t="s">
        <v>171</v>
      </c>
      <c r="D711" t="s">
        <v>165</v>
      </c>
      <c r="E711" t="s">
        <v>166</v>
      </c>
      <c r="F711" t="s">
        <v>163</v>
      </c>
      <c r="G711" s="82">
        <v>8014</v>
      </c>
      <c r="H711" s="82">
        <v>2564.48</v>
      </c>
      <c r="I711">
        <f>YEAR(tbl_dashboard_ejm[[#This Row],[Fecha]])</f>
        <v>2019</v>
      </c>
      <c r="J711" t="str">
        <f>TEXT(tbl_dashboard_ejm[[#This Row],[Fecha]],"MMMM")</f>
        <v>mayo</v>
      </c>
      <c r="K711">
        <f>WEEKNUM(tbl_dashboard_ejm[[#This Row],[Fecha]],2)</f>
        <v>22</v>
      </c>
    </row>
    <row r="712" spans="2:11" x14ac:dyDescent="0.3">
      <c r="B712" s="67">
        <v>43616</v>
      </c>
      <c r="C712" t="s">
        <v>172</v>
      </c>
      <c r="D712" t="s">
        <v>165</v>
      </c>
      <c r="E712" t="s">
        <v>166</v>
      </c>
      <c r="F712" t="s">
        <v>163</v>
      </c>
      <c r="G712" s="82">
        <v>2807</v>
      </c>
      <c r="H712" s="82">
        <v>701.75</v>
      </c>
      <c r="I712">
        <f>YEAR(tbl_dashboard_ejm[[#This Row],[Fecha]])</f>
        <v>2019</v>
      </c>
      <c r="J712" t="str">
        <f>TEXT(tbl_dashboard_ejm[[#This Row],[Fecha]],"MMMM")</f>
        <v>mayo</v>
      </c>
      <c r="K712">
        <f>WEEKNUM(tbl_dashboard_ejm[[#This Row],[Fecha]],2)</f>
        <v>22</v>
      </c>
    </row>
    <row r="713" spans="2:11" x14ac:dyDescent="0.3">
      <c r="B713" s="67">
        <v>43615</v>
      </c>
      <c r="C713" t="s">
        <v>173</v>
      </c>
      <c r="D713" t="s">
        <v>161</v>
      </c>
      <c r="E713" t="s">
        <v>166</v>
      </c>
      <c r="F713" t="s">
        <v>169</v>
      </c>
      <c r="G713" s="82">
        <v>5825</v>
      </c>
      <c r="H713" s="82">
        <v>1456.25</v>
      </c>
      <c r="I713">
        <f>YEAR(tbl_dashboard_ejm[[#This Row],[Fecha]])</f>
        <v>2019</v>
      </c>
      <c r="J713" t="str">
        <f>TEXT(tbl_dashboard_ejm[[#This Row],[Fecha]],"MMMM")</f>
        <v>mayo</v>
      </c>
      <c r="K713">
        <f>WEEKNUM(tbl_dashboard_ejm[[#This Row],[Fecha]],2)</f>
        <v>22</v>
      </c>
    </row>
    <row r="714" spans="2:11" x14ac:dyDescent="0.3">
      <c r="B714" s="67">
        <v>43611</v>
      </c>
      <c r="C714" t="s">
        <v>174</v>
      </c>
      <c r="D714" t="s">
        <v>165</v>
      </c>
      <c r="E714" t="s">
        <v>166</v>
      </c>
      <c r="F714" t="s">
        <v>163</v>
      </c>
      <c r="G714" s="82">
        <v>5975</v>
      </c>
      <c r="H714" s="82">
        <v>1195</v>
      </c>
      <c r="I714">
        <f>YEAR(tbl_dashboard_ejm[[#This Row],[Fecha]])</f>
        <v>2019</v>
      </c>
      <c r="J714" t="str">
        <f>TEXT(tbl_dashboard_ejm[[#This Row],[Fecha]],"MMMM")</f>
        <v>mayo</v>
      </c>
      <c r="K714">
        <f>WEEKNUM(tbl_dashboard_ejm[[#This Row],[Fecha]],2)</f>
        <v>21</v>
      </c>
    </row>
    <row r="715" spans="2:11" x14ac:dyDescent="0.3">
      <c r="B715" s="67">
        <v>43610</v>
      </c>
      <c r="C715" t="s">
        <v>175</v>
      </c>
      <c r="D715" t="s">
        <v>168</v>
      </c>
      <c r="E715" t="s">
        <v>166</v>
      </c>
      <c r="F715" t="s">
        <v>169</v>
      </c>
      <c r="G715" s="82">
        <v>5361</v>
      </c>
      <c r="H715" s="82">
        <v>1983.57</v>
      </c>
      <c r="I715">
        <f>YEAR(tbl_dashboard_ejm[[#This Row],[Fecha]])</f>
        <v>2019</v>
      </c>
      <c r="J715" t="str">
        <f>TEXT(tbl_dashboard_ejm[[#This Row],[Fecha]],"MMMM")</f>
        <v>mayo</v>
      </c>
      <c r="K715">
        <f>WEEKNUM(tbl_dashboard_ejm[[#This Row],[Fecha]],2)</f>
        <v>21</v>
      </c>
    </row>
    <row r="716" spans="2:11" x14ac:dyDescent="0.3">
      <c r="B716" s="67">
        <v>43610</v>
      </c>
      <c r="C716" t="s">
        <v>176</v>
      </c>
      <c r="D716" t="s">
        <v>161</v>
      </c>
      <c r="E716" t="s">
        <v>166</v>
      </c>
      <c r="F716" t="s">
        <v>169</v>
      </c>
      <c r="G716" s="82">
        <v>7790</v>
      </c>
      <c r="H716" s="82">
        <v>3116</v>
      </c>
      <c r="I716">
        <f>YEAR(tbl_dashboard_ejm[[#This Row],[Fecha]])</f>
        <v>2019</v>
      </c>
      <c r="J716" t="str">
        <f>TEXT(tbl_dashboard_ejm[[#This Row],[Fecha]],"MMMM")</f>
        <v>mayo</v>
      </c>
      <c r="K716">
        <f>WEEKNUM(tbl_dashboard_ejm[[#This Row],[Fecha]],2)</f>
        <v>21</v>
      </c>
    </row>
    <row r="717" spans="2:11" x14ac:dyDescent="0.3">
      <c r="B717" s="67">
        <v>43610</v>
      </c>
      <c r="C717" t="s">
        <v>177</v>
      </c>
      <c r="D717" t="s">
        <v>165</v>
      </c>
      <c r="E717" t="s">
        <v>162</v>
      </c>
      <c r="F717" t="s">
        <v>169</v>
      </c>
      <c r="G717" s="82">
        <v>11011</v>
      </c>
      <c r="H717" s="82">
        <v>4404.3999999999996</v>
      </c>
      <c r="I717">
        <f>YEAR(tbl_dashboard_ejm[[#This Row],[Fecha]])</f>
        <v>2019</v>
      </c>
      <c r="J717" t="str">
        <f>TEXT(tbl_dashboard_ejm[[#This Row],[Fecha]],"MMMM")</f>
        <v>mayo</v>
      </c>
      <c r="K717">
        <f>WEEKNUM(tbl_dashboard_ejm[[#This Row],[Fecha]],2)</f>
        <v>21</v>
      </c>
    </row>
    <row r="718" spans="2:11" x14ac:dyDescent="0.3">
      <c r="B718" s="67">
        <v>43610</v>
      </c>
      <c r="C718" t="s">
        <v>178</v>
      </c>
      <c r="D718" t="s">
        <v>168</v>
      </c>
      <c r="E718" t="s">
        <v>162</v>
      </c>
      <c r="F718" t="s">
        <v>169</v>
      </c>
      <c r="G718" s="82">
        <v>7232</v>
      </c>
      <c r="H718" s="82">
        <v>2024.96</v>
      </c>
      <c r="I718">
        <f>YEAR(tbl_dashboard_ejm[[#This Row],[Fecha]])</f>
        <v>2019</v>
      </c>
      <c r="J718" t="str">
        <f>TEXT(tbl_dashboard_ejm[[#This Row],[Fecha]],"MMMM")</f>
        <v>mayo</v>
      </c>
      <c r="K718">
        <f>WEEKNUM(tbl_dashboard_ejm[[#This Row],[Fecha]],2)</f>
        <v>21</v>
      </c>
    </row>
    <row r="719" spans="2:11" x14ac:dyDescent="0.3">
      <c r="B719" s="67">
        <v>43609</v>
      </c>
      <c r="C719" t="s">
        <v>179</v>
      </c>
      <c r="D719" t="s">
        <v>168</v>
      </c>
      <c r="E719" t="s">
        <v>166</v>
      </c>
      <c r="F719" t="s">
        <v>169</v>
      </c>
      <c r="G719" s="82">
        <v>9263</v>
      </c>
      <c r="H719" s="82">
        <v>3612.57</v>
      </c>
      <c r="I719">
        <f>YEAR(tbl_dashboard_ejm[[#This Row],[Fecha]])</f>
        <v>2019</v>
      </c>
      <c r="J719" t="str">
        <f>TEXT(tbl_dashboard_ejm[[#This Row],[Fecha]],"MMMM")</f>
        <v>mayo</v>
      </c>
      <c r="K719">
        <f>WEEKNUM(tbl_dashboard_ejm[[#This Row],[Fecha]],2)</f>
        <v>21</v>
      </c>
    </row>
    <row r="720" spans="2:11" x14ac:dyDescent="0.3">
      <c r="B720" s="67">
        <v>43646</v>
      </c>
      <c r="C720" t="s">
        <v>160</v>
      </c>
      <c r="D720" t="s">
        <v>165</v>
      </c>
      <c r="E720" t="s">
        <v>162</v>
      </c>
      <c r="F720" t="s">
        <v>163</v>
      </c>
      <c r="G720" s="82">
        <v>4757</v>
      </c>
      <c r="H720" s="82">
        <v>1236.82</v>
      </c>
      <c r="I720">
        <f>YEAR(tbl_dashboard_ejm[[#This Row],[Fecha]])</f>
        <v>2019</v>
      </c>
      <c r="J720" t="str">
        <f>TEXT(tbl_dashboard_ejm[[#This Row],[Fecha]],"MMMM")</f>
        <v>junio</v>
      </c>
      <c r="K720">
        <f>WEEKNUM(tbl_dashboard_ejm[[#This Row],[Fecha]],2)</f>
        <v>26</v>
      </c>
    </row>
    <row r="721" spans="2:11" x14ac:dyDescent="0.3">
      <c r="B721" s="67">
        <v>43646</v>
      </c>
      <c r="C721" t="s">
        <v>164</v>
      </c>
      <c r="D721" t="s">
        <v>165</v>
      </c>
      <c r="E721" t="s">
        <v>162</v>
      </c>
      <c r="F721" t="s">
        <v>163</v>
      </c>
      <c r="G721" s="82">
        <v>1475</v>
      </c>
      <c r="H721" s="82">
        <v>295</v>
      </c>
      <c r="I721">
        <f>YEAR(tbl_dashboard_ejm[[#This Row],[Fecha]])</f>
        <v>2019</v>
      </c>
      <c r="J721" t="str">
        <f>TEXT(tbl_dashboard_ejm[[#This Row],[Fecha]],"MMMM")</f>
        <v>junio</v>
      </c>
      <c r="K721">
        <f>WEEKNUM(tbl_dashboard_ejm[[#This Row],[Fecha]],2)</f>
        <v>26</v>
      </c>
    </row>
    <row r="722" spans="2:11" x14ac:dyDescent="0.3">
      <c r="B722" s="67">
        <v>43646</v>
      </c>
      <c r="C722" t="s">
        <v>167</v>
      </c>
      <c r="D722" t="s">
        <v>165</v>
      </c>
      <c r="E722" t="s">
        <v>162</v>
      </c>
      <c r="F722" t="s">
        <v>169</v>
      </c>
      <c r="G722" s="82">
        <v>8880</v>
      </c>
      <c r="H722" s="82">
        <v>1953.6</v>
      </c>
      <c r="I722">
        <f>YEAR(tbl_dashboard_ejm[[#This Row],[Fecha]])</f>
        <v>2019</v>
      </c>
      <c r="J722" t="str">
        <f>TEXT(tbl_dashboard_ejm[[#This Row],[Fecha]],"MMMM")</f>
        <v>junio</v>
      </c>
      <c r="K722">
        <f>WEEKNUM(tbl_dashboard_ejm[[#This Row],[Fecha]],2)</f>
        <v>26</v>
      </c>
    </row>
    <row r="723" spans="2:11" x14ac:dyDescent="0.3">
      <c r="B723" s="67">
        <v>43646</v>
      </c>
      <c r="C723" t="s">
        <v>170</v>
      </c>
      <c r="D723" t="s">
        <v>161</v>
      </c>
      <c r="E723" t="s">
        <v>166</v>
      </c>
      <c r="F723" t="s">
        <v>169</v>
      </c>
      <c r="G723" s="82">
        <v>3727</v>
      </c>
      <c r="H723" s="82">
        <v>931.75</v>
      </c>
      <c r="I723">
        <f>YEAR(tbl_dashboard_ejm[[#This Row],[Fecha]])</f>
        <v>2019</v>
      </c>
      <c r="J723" t="str">
        <f>TEXT(tbl_dashboard_ejm[[#This Row],[Fecha]],"MMMM")</f>
        <v>junio</v>
      </c>
      <c r="K723">
        <f>WEEKNUM(tbl_dashboard_ejm[[#This Row],[Fecha]],2)</f>
        <v>26</v>
      </c>
    </row>
    <row r="724" spans="2:11" x14ac:dyDescent="0.3">
      <c r="B724" s="67">
        <v>43646</v>
      </c>
      <c r="C724" t="s">
        <v>171</v>
      </c>
      <c r="D724" t="s">
        <v>161</v>
      </c>
      <c r="E724" t="s">
        <v>162</v>
      </c>
      <c r="F724" t="s">
        <v>163</v>
      </c>
      <c r="G724" s="82">
        <v>9202</v>
      </c>
      <c r="H724" s="82">
        <v>2944.64</v>
      </c>
      <c r="I724">
        <f>YEAR(tbl_dashboard_ejm[[#This Row],[Fecha]])</f>
        <v>2019</v>
      </c>
      <c r="J724" t="str">
        <f>TEXT(tbl_dashboard_ejm[[#This Row],[Fecha]],"MMMM")</f>
        <v>junio</v>
      </c>
      <c r="K724">
        <f>WEEKNUM(tbl_dashboard_ejm[[#This Row],[Fecha]],2)</f>
        <v>26</v>
      </c>
    </row>
    <row r="725" spans="2:11" x14ac:dyDescent="0.3">
      <c r="B725" s="67">
        <v>43646</v>
      </c>
      <c r="C725" t="s">
        <v>172</v>
      </c>
      <c r="D725" t="s">
        <v>165</v>
      </c>
      <c r="E725" t="s">
        <v>162</v>
      </c>
      <c r="F725" t="s">
        <v>163</v>
      </c>
      <c r="G725" s="82">
        <v>7577</v>
      </c>
      <c r="H725" s="82">
        <v>3409.65</v>
      </c>
      <c r="I725">
        <f>YEAR(tbl_dashboard_ejm[[#This Row],[Fecha]])</f>
        <v>2019</v>
      </c>
      <c r="J725" t="str">
        <f>TEXT(tbl_dashboard_ejm[[#This Row],[Fecha]],"MMMM")</f>
        <v>junio</v>
      </c>
      <c r="K725">
        <f>WEEKNUM(tbl_dashboard_ejm[[#This Row],[Fecha]],2)</f>
        <v>26</v>
      </c>
    </row>
    <row r="726" spans="2:11" x14ac:dyDescent="0.3">
      <c r="B726" s="67">
        <v>43646</v>
      </c>
      <c r="C726" t="s">
        <v>173</v>
      </c>
      <c r="D726" t="s">
        <v>168</v>
      </c>
      <c r="E726" t="s">
        <v>166</v>
      </c>
      <c r="F726" t="s">
        <v>169</v>
      </c>
      <c r="G726" s="82">
        <v>7589</v>
      </c>
      <c r="H726" s="82">
        <v>3035.6</v>
      </c>
      <c r="I726">
        <f>YEAR(tbl_dashboard_ejm[[#This Row],[Fecha]])</f>
        <v>2019</v>
      </c>
      <c r="J726" t="str">
        <f>TEXT(tbl_dashboard_ejm[[#This Row],[Fecha]],"MMMM")</f>
        <v>junio</v>
      </c>
      <c r="K726">
        <f>WEEKNUM(tbl_dashboard_ejm[[#This Row],[Fecha]],2)</f>
        <v>26</v>
      </c>
    </row>
    <row r="727" spans="2:11" x14ac:dyDescent="0.3">
      <c r="B727" s="67">
        <v>43642</v>
      </c>
      <c r="C727" t="s">
        <v>174</v>
      </c>
      <c r="D727" t="s">
        <v>168</v>
      </c>
      <c r="E727" t="s">
        <v>162</v>
      </c>
      <c r="F727" t="s">
        <v>163</v>
      </c>
      <c r="G727" s="82">
        <v>8828</v>
      </c>
      <c r="H727" s="82">
        <v>2560.12</v>
      </c>
      <c r="I727">
        <f>YEAR(tbl_dashboard_ejm[[#This Row],[Fecha]])</f>
        <v>2019</v>
      </c>
      <c r="J727" t="str">
        <f>TEXT(tbl_dashboard_ejm[[#This Row],[Fecha]],"MMMM")</f>
        <v>junio</v>
      </c>
      <c r="K727">
        <f>WEEKNUM(tbl_dashboard_ejm[[#This Row],[Fecha]],2)</f>
        <v>26</v>
      </c>
    </row>
    <row r="728" spans="2:11" x14ac:dyDescent="0.3">
      <c r="B728" s="67">
        <v>43641</v>
      </c>
      <c r="C728" t="s">
        <v>175</v>
      </c>
      <c r="D728" t="s">
        <v>165</v>
      </c>
      <c r="E728" t="s">
        <v>166</v>
      </c>
      <c r="F728" t="s">
        <v>169</v>
      </c>
      <c r="G728" s="82">
        <v>8355</v>
      </c>
      <c r="H728" s="82">
        <v>3258.45</v>
      </c>
      <c r="I728">
        <f>YEAR(tbl_dashboard_ejm[[#This Row],[Fecha]])</f>
        <v>2019</v>
      </c>
      <c r="J728" t="str">
        <f>TEXT(tbl_dashboard_ejm[[#This Row],[Fecha]],"MMMM")</f>
        <v>junio</v>
      </c>
      <c r="K728">
        <f>WEEKNUM(tbl_dashboard_ejm[[#This Row],[Fecha]],2)</f>
        <v>26</v>
      </c>
    </row>
    <row r="729" spans="2:11" x14ac:dyDescent="0.3">
      <c r="B729" s="67">
        <v>43641</v>
      </c>
      <c r="C729" t="s">
        <v>176</v>
      </c>
      <c r="D729" t="s">
        <v>165</v>
      </c>
      <c r="E729" t="s">
        <v>166</v>
      </c>
      <c r="F729" t="s">
        <v>169</v>
      </c>
      <c r="G729" s="82">
        <v>5112</v>
      </c>
      <c r="H729" s="82">
        <v>1022.4</v>
      </c>
      <c r="I729">
        <f>YEAR(tbl_dashboard_ejm[[#This Row],[Fecha]])</f>
        <v>2019</v>
      </c>
      <c r="J729" t="str">
        <f>TEXT(tbl_dashboard_ejm[[#This Row],[Fecha]],"MMMM")</f>
        <v>junio</v>
      </c>
      <c r="K729">
        <f>WEEKNUM(tbl_dashboard_ejm[[#This Row],[Fecha]],2)</f>
        <v>26</v>
      </c>
    </row>
    <row r="730" spans="2:11" x14ac:dyDescent="0.3">
      <c r="B730" s="67">
        <v>43641</v>
      </c>
      <c r="C730" t="s">
        <v>177</v>
      </c>
      <c r="D730" t="s">
        <v>165</v>
      </c>
      <c r="E730" t="s">
        <v>166</v>
      </c>
      <c r="F730" t="s">
        <v>169</v>
      </c>
      <c r="G730" s="82">
        <v>4800</v>
      </c>
      <c r="H730" s="82">
        <v>1968</v>
      </c>
      <c r="I730">
        <f>YEAR(tbl_dashboard_ejm[[#This Row],[Fecha]])</f>
        <v>2019</v>
      </c>
      <c r="J730" t="str">
        <f>TEXT(tbl_dashboard_ejm[[#This Row],[Fecha]],"MMMM")</f>
        <v>junio</v>
      </c>
      <c r="K730">
        <f>WEEKNUM(tbl_dashboard_ejm[[#This Row],[Fecha]],2)</f>
        <v>26</v>
      </c>
    </row>
    <row r="731" spans="2:11" x14ac:dyDescent="0.3">
      <c r="B731" s="67">
        <v>43641</v>
      </c>
      <c r="C731" t="s">
        <v>178</v>
      </c>
      <c r="D731" t="s">
        <v>161</v>
      </c>
      <c r="E731" t="s">
        <v>162</v>
      </c>
      <c r="F731" t="s">
        <v>169</v>
      </c>
      <c r="G731" s="82">
        <v>10015</v>
      </c>
      <c r="H731" s="82">
        <v>2704.05</v>
      </c>
      <c r="I731">
        <f>YEAR(tbl_dashboard_ejm[[#This Row],[Fecha]])</f>
        <v>2019</v>
      </c>
      <c r="J731" t="str">
        <f>TEXT(tbl_dashboard_ejm[[#This Row],[Fecha]],"MMMM")</f>
        <v>junio</v>
      </c>
      <c r="K731">
        <f>WEEKNUM(tbl_dashboard_ejm[[#This Row],[Fecha]],2)</f>
        <v>26</v>
      </c>
    </row>
    <row r="732" spans="2:11" x14ac:dyDescent="0.3">
      <c r="B732" s="67">
        <v>43640</v>
      </c>
      <c r="C732" t="s">
        <v>179</v>
      </c>
      <c r="D732" t="s">
        <v>165</v>
      </c>
      <c r="E732" t="s">
        <v>166</v>
      </c>
      <c r="F732" t="s">
        <v>169</v>
      </c>
      <c r="G732" s="82">
        <v>1383</v>
      </c>
      <c r="H732" s="82">
        <v>525.54</v>
      </c>
      <c r="I732">
        <f>YEAR(tbl_dashboard_ejm[[#This Row],[Fecha]])</f>
        <v>2019</v>
      </c>
      <c r="J732" t="str">
        <f>TEXT(tbl_dashboard_ejm[[#This Row],[Fecha]],"MMMM")</f>
        <v>junio</v>
      </c>
      <c r="K732">
        <f>WEEKNUM(tbl_dashboard_ejm[[#This Row],[Fecha]],2)</f>
        <v>26</v>
      </c>
    </row>
    <row r="733" spans="2:11" x14ac:dyDescent="0.3">
      <c r="B733" s="67">
        <v>43640</v>
      </c>
      <c r="C733" t="s">
        <v>180</v>
      </c>
      <c r="D733" t="s">
        <v>165</v>
      </c>
      <c r="E733" t="s">
        <v>162</v>
      </c>
      <c r="F733" t="s">
        <v>163</v>
      </c>
      <c r="G733" s="82">
        <v>11901</v>
      </c>
      <c r="H733" s="82">
        <v>3927.33</v>
      </c>
      <c r="I733">
        <f>YEAR(tbl_dashboard_ejm[[#This Row],[Fecha]])</f>
        <v>2019</v>
      </c>
      <c r="J733" t="str">
        <f>TEXT(tbl_dashboard_ejm[[#This Row],[Fecha]],"MMMM")</f>
        <v>junio</v>
      </c>
      <c r="K733">
        <f>WEEKNUM(tbl_dashboard_ejm[[#This Row],[Fecha]],2)</f>
        <v>26</v>
      </c>
    </row>
    <row r="734" spans="2:11" x14ac:dyDescent="0.3">
      <c r="B734" s="67">
        <v>43640</v>
      </c>
      <c r="C734" t="s">
        <v>181</v>
      </c>
      <c r="D734" t="s">
        <v>168</v>
      </c>
      <c r="E734" t="s">
        <v>162</v>
      </c>
      <c r="F734" t="s">
        <v>163</v>
      </c>
      <c r="G734" s="82">
        <v>5493</v>
      </c>
      <c r="H734" s="82">
        <v>823.95</v>
      </c>
      <c r="I734">
        <f>YEAR(tbl_dashboard_ejm[[#This Row],[Fecha]])</f>
        <v>2019</v>
      </c>
      <c r="J734" t="str">
        <f>TEXT(tbl_dashboard_ejm[[#This Row],[Fecha]],"MMMM")</f>
        <v>junio</v>
      </c>
      <c r="K734">
        <f>WEEKNUM(tbl_dashboard_ejm[[#This Row],[Fecha]],2)</f>
        <v>26</v>
      </c>
    </row>
    <row r="735" spans="2:11" x14ac:dyDescent="0.3">
      <c r="B735" s="67">
        <v>43677</v>
      </c>
      <c r="C735" t="s">
        <v>160</v>
      </c>
      <c r="D735" t="s">
        <v>165</v>
      </c>
      <c r="E735" t="s">
        <v>162</v>
      </c>
      <c r="F735" t="s">
        <v>169</v>
      </c>
      <c r="G735" s="82">
        <v>2655</v>
      </c>
      <c r="H735" s="82">
        <v>769.95</v>
      </c>
      <c r="I735">
        <f>YEAR(tbl_dashboard_ejm[[#This Row],[Fecha]])</f>
        <v>2019</v>
      </c>
      <c r="J735" t="str">
        <f>TEXT(tbl_dashboard_ejm[[#This Row],[Fecha]],"MMMM")</f>
        <v>julio</v>
      </c>
      <c r="K735">
        <f>WEEKNUM(tbl_dashboard_ejm[[#This Row],[Fecha]],2)</f>
        <v>31</v>
      </c>
    </row>
    <row r="736" spans="2:11" x14ac:dyDescent="0.3">
      <c r="B736" s="67">
        <v>43677</v>
      </c>
      <c r="C736" t="s">
        <v>164</v>
      </c>
      <c r="D736" t="s">
        <v>161</v>
      </c>
      <c r="E736" t="s">
        <v>162</v>
      </c>
      <c r="F736" t="s">
        <v>169</v>
      </c>
      <c r="G736" s="82">
        <v>4016</v>
      </c>
      <c r="H736" s="82">
        <v>642.55999999999995</v>
      </c>
      <c r="I736">
        <f>YEAR(tbl_dashboard_ejm[[#This Row],[Fecha]])</f>
        <v>2019</v>
      </c>
      <c r="J736" t="str">
        <f>TEXT(tbl_dashboard_ejm[[#This Row],[Fecha]],"MMMM")</f>
        <v>julio</v>
      </c>
      <c r="K736">
        <f>WEEKNUM(tbl_dashboard_ejm[[#This Row],[Fecha]],2)</f>
        <v>31</v>
      </c>
    </row>
    <row r="737" spans="2:11" x14ac:dyDescent="0.3">
      <c r="B737" s="67">
        <v>43677</v>
      </c>
      <c r="C737" t="s">
        <v>167</v>
      </c>
      <c r="D737" t="s">
        <v>161</v>
      </c>
      <c r="E737" t="s">
        <v>166</v>
      </c>
      <c r="F737" t="s">
        <v>163</v>
      </c>
      <c r="G737" s="82">
        <v>8320</v>
      </c>
      <c r="H737" s="82">
        <v>3161.6</v>
      </c>
      <c r="I737">
        <f>YEAR(tbl_dashboard_ejm[[#This Row],[Fecha]])</f>
        <v>2019</v>
      </c>
      <c r="J737" t="str">
        <f>TEXT(tbl_dashboard_ejm[[#This Row],[Fecha]],"MMMM")</f>
        <v>julio</v>
      </c>
      <c r="K737">
        <f>WEEKNUM(tbl_dashboard_ejm[[#This Row],[Fecha]],2)</f>
        <v>31</v>
      </c>
    </row>
    <row r="738" spans="2:11" x14ac:dyDescent="0.3">
      <c r="B738" s="67">
        <v>43677</v>
      </c>
      <c r="C738" t="s">
        <v>170</v>
      </c>
      <c r="D738" t="s">
        <v>161</v>
      </c>
      <c r="E738" t="s">
        <v>162</v>
      </c>
      <c r="F738" t="s">
        <v>163</v>
      </c>
      <c r="G738" s="82">
        <v>3614</v>
      </c>
      <c r="H738" s="82">
        <v>1084.2</v>
      </c>
      <c r="I738">
        <f>YEAR(tbl_dashboard_ejm[[#This Row],[Fecha]])</f>
        <v>2019</v>
      </c>
      <c r="J738" t="str">
        <f>TEXT(tbl_dashboard_ejm[[#This Row],[Fecha]],"MMMM")</f>
        <v>julio</v>
      </c>
      <c r="K738">
        <f>WEEKNUM(tbl_dashboard_ejm[[#This Row],[Fecha]],2)</f>
        <v>31</v>
      </c>
    </row>
    <row r="739" spans="2:11" x14ac:dyDescent="0.3">
      <c r="B739" s="67">
        <v>43676</v>
      </c>
      <c r="C739" t="s">
        <v>171</v>
      </c>
      <c r="D739" t="s">
        <v>168</v>
      </c>
      <c r="E739" t="s">
        <v>166</v>
      </c>
      <c r="F739" t="s">
        <v>169</v>
      </c>
      <c r="G739" s="82">
        <v>3266</v>
      </c>
      <c r="H739" s="82">
        <v>620.54</v>
      </c>
      <c r="I739">
        <f>YEAR(tbl_dashboard_ejm[[#This Row],[Fecha]])</f>
        <v>2019</v>
      </c>
      <c r="J739" t="str">
        <f>TEXT(tbl_dashboard_ejm[[#This Row],[Fecha]],"MMMM")</f>
        <v>julio</v>
      </c>
      <c r="K739">
        <f>WEEKNUM(tbl_dashboard_ejm[[#This Row],[Fecha]],2)</f>
        <v>31</v>
      </c>
    </row>
    <row r="740" spans="2:11" x14ac:dyDescent="0.3">
      <c r="B740" s="67">
        <v>43672</v>
      </c>
      <c r="C740" t="s">
        <v>172</v>
      </c>
      <c r="D740" t="s">
        <v>161</v>
      </c>
      <c r="E740" t="s">
        <v>166</v>
      </c>
      <c r="F740" t="s">
        <v>163</v>
      </c>
      <c r="G740" s="82">
        <v>9567</v>
      </c>
      <c r="H740" s="82">
        <v>3252.78</v>
      </c>
      <c r="I740">
        <f>YEAR(tbl_dashboard_ejm[[#This Row],[Fecha]])</f>
        <v>2019</v>
      </c>
      <c r="J740" t="str">
        <f>TEXT(tbl_dashboard_ejm[[#This Row],[Fecha]],"MMMM")</f>
        <v>julio</v>
      </c>
      <c r="K740">
        <f>WEEKNUM(tbl_dashboard_ejm[[#This Row],[Fecha]],2)</f>
        <v>30</v>
      </c>
    </row>
    <row r="741" spans="2:11" x14ac:dyDescent="0.3">
      <c r="B741" s="67">
        <v>43671</v>
      </c>
      <c r="C741" t="s">
        <v>173</v>
      </c>
      <c r="D741" t="s">
        <v>161</v>
      </c>
      <c r="E741" t="s">
        <v>162</v>
      </c>
      <c r="F741" t="s">
        <v>169</v>
      </c>
      <c r="G741" s="82">
        <v>7280</v>
      </c>
      <c r="H741" s="82">
        <v>2184</v>
      </c>
      <c r="I741">
        <f>YEAR(tbl_dashboard_ejm[[#This Row],[Fecha]])</f>
        <v>2019</v>
      </c>
      <c r="J741" t="str">
        <f>TEXT(tbl_dashboard_ejm[[#This Row],[Fecha]],"MMMM")</f>
        <v>julio</v>
      </c>
      <c r="K741">
        <f>WEEKNUM(tbl_dashboard_ejm[[#This Row],[Fecha]],2)</f>
        <v>30</v>
      </c>
    </row>
    <row r="742" spans="2:11" x14ac:dyDescent="0.3">
      <c r="B742" s="67">
        <v>43671</v>
      </c>
      <c r="C742" t="s">
        <v>174</v>
      </c>
      <c r="D742" t="s">
        <v>168</v>
      </c>
      <c r="E742" t="s">
        <v>162</v>
      </c>
      <c r="F742" t="s">
        <v>169</v>
      </c>
      <c r="G742" s="82">
        <v>8871</v>
      </c>
      <c r="H742" s="82">
        <v>3903.24</v>
      </c>
      <c r="I742">
        <f>YEAR(tbl_dashboard_ejm[[#This Row],[Fecha]])</f>
        <v>2019</v>
      </c>
      <c r="J742" t="str">
        <f>TEXT(tbl_dashboard_ejm[[#This Row],[Fecha]],"MMMM")</f>
        <v>julio</v>
      </c>
      <c r="K742">
        <f>WEEKNUM(tbl_dashboard_ejm[[#This Row],[Fecha]],2)</f>
        <v>30</v>
      </c>
    </row>
    <row r="743" spans="2:11" x14ac:dyDescent="0.3">
      <c r="B743" s="67">
        <v>43671</v>
      </c>
      <c r="C743" t="s">
        <v>175</v>
      </c>
      <c r="D743" t="s">
        <v>161</v>
      </c>
      <c r="E743" t="s">
        <v>162</v>
      </c>
      <c r="F743" t="s">
        <v>169</v>
      </c>
      <c r="G743" s="82">
        <v>6551</v>
      </c>
      <c r="H743" s="82">
        <v>2685.91</v>
      </c>
      <c r="I743">
        <f>YEAR(tbl_dashboard_ejm[[#This Row],[Fecha]])</f>
        <v>2019</v>
      </c>
      <c r="J743" t="str">
        <f>TEXT(tbl_dashboard_ejm[[#This Row],[Fecha]],"MMMM")</f>
        <v>julio</v>
      </c>
      <c r="K743">
        <f>WEEKNUM(tbl_dashboard_ejm[[#This Row],[Fecha]],2)</f>
        <v>30</v>
      </c>
    </row>
    <row r="744" spans="2:11" x14ac:dyDescent="0.3">
      <c r="B744" s="67">
        <v>43671</v>
      </c>
      <c r="C744" t="s">
        <v>176</v>
      </c>
      <c r="D744" t="s">
        <v>168</v>
      </c>
      <c r="E744" t="s">
        <v>166</v>
      </c>
      <c r="F744" t="s">
        <v>169</v>
      </c>
      <c r="G744" s="82">
        <v>4177</v>
      </c>
      <c r="H744" s="82">
        <v>1086.02</v>
      </c>
      <c r="I744">
        <f>YEAR(tbl_dashboard_ejm[[#This Row],[Fecha]])</f>
        <v>2019</v>
      </c>
      <c r="J744" t="str">
        <f>TEXT(tbl_dashboard_ejm[[#This Row],[Fecha]],"MMMM")</f>
        <v>julio</v>
      </c>
      <c r="K744">
        <f>WEEKNUM(tbl_dashboard_ejm[[#This Row],[Fecha]],2)</f>
        <v>30</v>
      </c>
    </row>
    <row r="745" spans="2:11" x14ac:dyDescent="0.3">
      <c r="B745" s="67">
        <v>43670</v>
      </c>
      <c r="C745" t="s">
        <v>177</v>
      </c>
      <c r="D745" t="s">
        <v>168</v>
      </c>
      <c r="E745" t="s">
        <v>162</v>
      </c>
      <c r="F745" t="s">
        <v>169</v>
      </c>
      <c r="G745" s="82">
        <v>9340</v>
      </c>
      <c r="H745" s="82">
        <v>1868</v>
      </c>
      <c r="I745">
        <f>YEAR(tbl_dashboard_ejm[[#This Row],[Fecha]])</f>
        <v>2019</v>
      </c>
      <c r="J745" t="str">
        <f>TEXT(tbl_dashboard_ejm[[#This Row],[Fecha]],"MMMM")</f>
        <v>julio</v>
      </c>
      <c r="K745">
        <f>WEEKNUM(tbl_dashboard_ejm[[#This Row],[Fecha]],2)</f>
        <v>30</v>
      </c>
    </row>
    <row r="746" spans="2:11" x14ac:dyDescent="0.3">
      <c r="B746" s="67">
        <v>43676</v>
      </c>
      <c r="C746" t="s">
        <v>178</v>
      </c>
      <c r="D746" t="s">
        <v>168</v>
      </c>
      <c r="E746" t="s">
        <v>162</v>
      </c>
      <c r="F746" t="s">
        <v>163</v>
      </c>
      <c r="G746" s="82">
        <v>5100</v>
      </c>
      <c r="H746" s="82">
        <v>1734</v>
      </c>
      <c r="I746">
        <f>YEAR(tbl_dashboard_ejm[[#This Row],[Fecha]])</f>
        <v>2019</v>
      </c>
      <c r="J746" t="str">
        <f>TEXT(tbl_dashboard_ejm[[#This Row],[Fecha]],"MMMM")</f>
        <v>julio</v>
      </c>
      <c r="K746">
        <f>WEEKNUM(tbl_dashboard_ejm[[#This Row],[Fecha]],2)</f>
        <v>31</v>
      </c>
    </row>
    <row r="747" spans="2:11" x14ac:dyDescent="0.3">
      <c r="B747" s="67">
        <v>43676</v>
      </c>
      <c r="C747" t="s">
        <v>179</v>
      </c>
      <c r="D747" t="s">
        <v>168</v>
      </c>
      <c r="E747" t="s">
        <v>166</v>
      </c>
      <c r="F747" t="s">
        <v>163</v>
      </c>
      <c r="G747" s="82">
        <v>6433</v>
      </c>
      <c r="H747" s="82">
        <v>2251.5500000000002</v>
      </c>
      <c r="I747">
        <f>YEAR(tbl_dashboard_ejm[[#This Row],[Fecha]])</f>
        <v>2019</v>
      </c>
      <c r="J747" t="str">
        <f>TEXT(tbl_dashboard_ejm[[#This Row],[Fecha]],"MMMM")</f>
        <v>julio</v>
      </c>
      <c r="K747">
        <f>WEEKNUM(tbl_dashboard_ejm[[#This Row],[Fecha]],2)</f>
        <v>31</v>
      </c>
    </row>
    <row r="748" spans="2:11" x14ac:dyDescent="0.3">
      <c r="B748" s="67">
        <v>43676</v>
      </c>
      <c r="C748" t="s">
        <v>180</v>
      </c>
      <c r="D748" t="s">
        <v>165</v>
      </c>
      <c r="E748" t="s">
        <v>162</v>
      </c>
      <c r="F748" t="s">
        <v>169</v>
      </c>
      <c r="G748" s="82">
        <v>5621</v>
      </c>
      <c r="H748" s="82">
        <v>955.57</v>
      </c>
      <c r="I748">
        <f>YEAR(tbl_dashboard_ejm[[#This Row],[Fecha]])</f>
        <v>2019</v>
      </c>
      <c r="J748" t="str">
        <f>TEXT(tbl_dashboard_ejm[[#This Row],[Fecha]],"MMMM")</f>
        <v>julio</v>
      </c>
      <c r="K748">
        <f>WEEKNUM(tbl_dashboard_ejm[[#This Row],[Fecha]],2)</f>
        <v>31</v>
      </c>
    </row>
    <row r="749" spans="2:11" x14ac:dyDescent="0.3">
      <c r="B749" s="67">
        <v>43676</v>
      </c>
      <c r="C749" t="s">
        <v>181</v>
      </c>
      <c r="D749" t="s">
        <v>168</v>
      </c>
      <c r="E749" t="s">
        <v>166</v>
      </c>
      <c r="F749" t="s">
        <v>169</v>
      </c>
      <c r="G749" s="82">
        <v>7741</v>
      </c>
      <c r="H749" s="82">
        <v>2786.76</v>
      </c>
      <c r="I749">
        <f>YEAR(tbl_dashboard_ejm[[#This Row],[Fecha]])</f>
        <v>2019</v>
      </c>
      <c r="J749" t="str">
        <f>TEXT(tbl_dashboard_ejm[[#This Row],[Fecha]],"MMMM")</f>
        <v>julio</v>
      </c>
      <c r="K749">
        <f>WEEKNUM(tbl_dashboard_ejm[[#This Row],[Fecha]],2)</f>
        <v>31</v>
      </c>
    </row>
    <row r="750" spans="2:11" x14ac:dyDescent="0.3">
      <c r="B750" s="67">
        <v>43676</v>
      </c>
      <c r="C750" t="s">
        <v>182</v>
      </c>
      <c r="D750" t="s">
        <v>161</v>
      </c>
      <c r="E750" t="s">
        <v>166</v>
      </c>
      <c r="F750" t="s">
        <v>163</v>
      </c>
      <c r="G750" s="82">
        <v>5420</v>
      </c>
      <c r="H750" s="82">
        <v>1842.8</v>
      </c>
      <c r="I750">
        <f>YEAR(tbl_dashboard_ejm[[#This Row],[Fecha]])</f>
        <v>2019</v>
      </c>
      <c r="J750" t="str">
        <f>TEXT(tbl_dashboard_ejm[[#This Row],[Fecha]],"MMMM")</f>
        <v>julio</v>
      </c>
      <c r="K750">
        <f>WEEKNUM(tbl_dashboard_ejm[[#This Row],[Fecha]],2)</f>
        <v>31</v>
      </c>
    </row>
    <row r="751" spans="2:11" x14ac:dyDescent="0.3">
      <c r="B751" s="67">
        <v>43676</v>
      </c>
      <c r="C751" t="s">
        <v>183</v>
      </c>
      <c r="D751" t="s">
        <v>165</v>
      </c>
      <c r="E751" t="s">
        <v>166</v>
      </c>
      <c r="F751" t="s">
        <v>163</v>
      </c>
      <c r="G751" s="82">
        <v>5381</v>
      </c>
      <c r="H751" s="82">
        <v>968.58</v>
      </c>
      <c r="I751">
        <f>YEAR(tbl_dashboard_ejm[[#This Row],[Fecha]])</f>
        <v>2019</v>
      </c>
      <c r="J751" t="str">
        <f>TEXT(tbl_dashboard_ejm[[#This Row],[Fecha]],"MMMM")</f>
        <v>julio</v>
      </c>
      <c r="K751">
        <f>WEEKNUM(tbl_dashboard_ejm[[#This Row],[Fecha]],2)</f>
        <v>31</v>
      </c>
    </row>
    <row r="752" spans="2:11" x14ac:dyDescent="0.3">
      <c r="B752" s="67">
        <v>43676</v>
      </c>
      <c r="C752" t="s">
        <v>184</v>
      </c>
      <c r="D752" t="s">
        <v>168</v>
      </c>
      <c r="E752" t="s">
        <v>166</v>
      </c>
      <c r="F752" t="s">
        <v>169</v>
      </c>
      <c r="G752" s="82">
        <v>7941</v>
      </c>
      <c r="H752" s="82">
        <v>1191.1500000000001</v>
      </c>
      <c r="I752">
        <f>YEAR(tbl_dashboard_ejm[[#This Row],[Fecha]])</f>
        <v>2019</v>
      </c>
      <c r="J752" t="str">
        <f>TEXT(tbl_dashboard_ejm[[#This Row],[Fecha]],"MMMM")</f>
        <v>julio</v>
      </c>
      <c r="K752">
        <f>WEEKNUM(tbl_dashboard_ejm[[#This Row],[Fecha]],2)</f>
        <v>31</v>
      </c>
    </row>
    <row r="753" spans="2:11" x14ac:dyDescent="0.3">
      <c r="B753" s="67">
        <v>43672</v>
      </c>
      <c r="C753" t="s">
        <v>185</v>
      </c>
      <c r="D753" t="s">
        <v>165</v>
      </c>
      <c r="E753" t="s">
        <v>162</v>
      </c>
      <c r="F753" t="s">
        <v>163</v>
      </c>
      <c r="G753" s="82">
        <v>11805</v>
      </c>
      <c r="H753" s="82">
        <v>3187.35</v>
      </c>
      <c r="I753">
        <f>YEAR(tbl_dashboard_ejm[[#This Row],[Fecha]])</f>
        <v>2019</v>
      </c>
      <c r="J753" t="str">
        <f>TEXT(tbl_dashboard_ejm[[#This Row],[Fecha]],"MMMM")</f>
        <v>julio</v>
      </c>
      <c r="K753">
        <f>WEEKNUM(tbl_dashboard_ejm[[#This Row],[Fecha]],2)</f>
        <v>30</v>
      </c>
    </row>
    <row r="754" spans="2:11" x14ac:dyDescent="0.3">
      <c r="B754" s="67">
        <v>43671</v>
      </c>
      <c r="C754" t="s">
        <v>186</v>
      </c>
      <c r="D754" t="s">
        <v>165</v>
      </c>
      <c r="E754" t="s">
        <v>162</v>
      </c>
      <c r="F754" t="s">
        <v>169</v>
      </c>
      <c r="G754" s="82">
        <v>2674</v>
      </c>
      <c r="H754" s="82">
        <v>668.5</v>
      </c>
      <c r="I754">
        <f>YEAR(tbl_dashboard_ejm[[#This Row],[Fecha]])</f>
        <v>2019</v>
      </c>
      <c r="J754" t="str">
        <f>TEXT(tbl_dashboard_ejm[[#This Row],[Fecha]],"MMMM")</f>
        <v>julio</v>
      </c>
      <c r="K754">
        <f>WEEKNUM(tbl_dashboard_ejm[[#This Row],[Fecha]],2)</f>
        <v>30</v>
      </c>
    </row>
    <row r="755" spans="2:11" x14ac:dyDescent="0.3">
      <c r="B755" s="67">
        <v>43671</v>
      </c>
      <c r="C755" t="s">
        <v>187</v>
      </c>
      <c r="D755" t="s">
        <v>165</v>
      </c>
      <c r="E755" t="s">
        <v>162</v>
      </c>
      <c r="F755" t="s">
        <v>169</v>
      </c>
      <c r="G755" s="82">
        <v>2265</v>
      </c>
      <c r="H755" s="82">
        <v>453</v>
      </c>
      <c r="I755">
        <f>YEAR(tbl_dashboard_ejm[[#This Row],[Fecha]])</f>
        <v>2019</v>
      </c>
      <c r="J755" t="str">
        <f>TEXT(tbl_dashboard_ejm[[#This Row],[Fecha]],"MMMM")</f>
        <v>julio</v>
      </c>
      <c r="K755">
        <f>WEEKNUM(tbl_dashboard_ejm[[#This Row],[Fecha]],2)</f>
        <v>30</v>
      </c>
    </row>
    <row r="756" spans="2:11" x14ac:dyDescent="0.3">
      <c r="B756" s="67">
        <v>43671</v>
      </c>
      <c r="C756" t="s">
        <v>188</v>
      </c>
      <c r="D756" t="s">
        <v>161</v>
      </c>
      <c r="E756" t="s">
        <v>166</v>
      </c>
      <c r="F756" t="s">
        <v>169</v>
      </c>
      <c r="G756" s="82">
        <v>2738</v>
      </c>
      <c r="H756" s="82">
        <v>465.46</v>
      </c>
      <c r="I756">
        <f>YEAR(tbl_dashboard_ejm[[#This Row],[Fecha]])</f>
        <v>2019</v>
      </c>
      <c r="J756" t="str">
        <f>TEXT(tbl_dashboard_ejm[[#This Row],[Fecha]],"MMMM")</f>
        <v>julio</v>
      </c>
      <c r="K756">
        <f>WEEKNUM(tbl_dashboard_ejm[[#This Row],[Fecha]],2)</f>
        <v>30</v>
      </c>
    </row>
    <row r="757" spans="2:11" x14ac:dyDescent="0.3">
      <c r="B757" s="67">
        <v>43671</v>
      </c>
      <c r="C757" t="s">
        <v>189</v>
      </c>
      <c r="D757" t="s">
        <v>165</v>
      </c>
      <c r="E757" t="s">
        <v>166</v>
      </c>
      <c r="F757" t="s">
        <v>169</v>
      </c>
      <c r="G757" s="82">
        <v>9784</v>
      </c>
      <c r="H757" s="82">
        <v>2348.16</v>
      </c>
      <c r="I757">
        <f>YEAR(tbl_dashboard_ejm[[#This Row],[Fecha]])</f>
        <v>2019</v>
      </c>
      <c r="J757" t="str">
        <f>TEXT(tbl_dashboard_ejm[[#This Row],[Fecha]],"MMMM")</f>
        <v>julio</v>
      </c>
      <c r="K757">
        <f>WEEKNUM(tbl_dashboard_ejm[[#This Row],[Fecha]],2)</f>
        <v>30</v>
      </c>
    </row>
    <row r="758" spans="2:11" x14ac:dyDescent="0.3">
      <c r="B758" s="67">
        <v>43670</v>
      </c>
      <c r="C758" t="s">
        <v>190</v>
      </c>
      <c r="D758" t="s">
        <v>168</v>
      </c>
      <c r="E758" t="s">
        <v>162</v>
      </c>
      <c r="F758" t="s">
        <v>169</v>
      </c>
      <c r="G758" s="82">
        <v>2747</v>
      </c>
      <c r="H758" s="82">
        <v>741.69</v>
      </c>
      <c r="I758">
        <f>YEAR(tbl_dashboard_ejm[[#This Row],[Fecha]])</f>
        <v>2019</v>
      </c>
      <c r="J758" t="str">
        <f>TEXT(tbl_dashboard_ejm[[#This Row],[Fecha]],"MMMM")</f>
        <v>julio</v>
      </c>
      <c r="K758">
        <f>WEEKNUM(tbl_dashboard_ejm[[#This Row],[Fecha]],2)</f>
        <v>30</v>
      </c>
    </row>
    <row r="759" spans="2:11" x14ac:dyDescent="0.3">
      <c r="B759" s="67">
        <v>43670</v>
      </c>
      <c r="C759" t="s">
        <v>191</v>
      </c>
      <c r="D759" t="s">
        <v>161</v>
      </c>
      <c r="E759" t="s">
        <v>166</v>
      </c>
      <c r="F759" t="s">
        <v>163</v>
      </c>
      <c r="G759" s="82">
        <v>8103</v>
      </c>
      <c r="H759" s="82">
        <v>3646.35</v>
      </c>
      <c r="I759">
        <f>YEAR(tbl_dashboard_ejm[[#This Row],[Fecha]])</f>
        <v>2019</v>
      </c>
      <c r="J759" t="str">
        <f>TEXT(tbl_dashboard_ejm[[#This Row],[Fecha]],"MMMM")</f>
        <v>julio</v>
      </c>
      <c r="K759">
        <f>WEEKNUM(tbl_dashboard_ejm[[#This Row],[Fecha]],2)</f>
        <v>30</v>
      </c>
    </row>
    <row r="760" spans="2:11" x14ac:dyDescent="0.3">
      <c r="B760" s="67">
        <v>43670</v>
      </c>
      <c r="C760" t="s">
        <v>192</v>
      </c>
      <c r="D760" t="s">
        <v>165</v>
      </c>
      <c r="E760" t="s">
        <v>166</v>
      </c>
      <c r="F760" t="s">
        <v>163</v>
      </c>
      <c r="G760" s="82">
        <v>11279</v>
      </c>
      <c r="H760" s="82">
        <v>2255.8000000000002</v>
      </c>
      <c r="I760">
        <f>YEAR(tbl_dashboard_ejm[[#This Row],[Fecha]])</f>
        <v>2019</v>
      </c>
      <c r="J760" t="str">
        <f>TEXT(tbl_dashboard_ejm[[#This Row],[Fecha]],"MMMM")</f>
        <v>julio</v>
      </c>
      <c r="K760">
        <f>WEEKNUM(tbl_dashboard_ejm[[#This Row],[Fecha]],2)</f>
        <v>30</v>
      </c>
    </row>
    <row r="761" spans="2:11" x14ac:dyDescent="0.3">
      <c r="B761" s="67">
        <v>43708</v>
      </c>
      <c r="C761" t="s">
        <v>160</v>
      </c>
      <c r="D761" t="s">
        <v>165</v>
      </c>
      <c r="E761" t="s">
        <v>166</v>
      </c>
      <c r="F761" t="s">
        <v>169</v>
      </c>
      <c r="G761" s="82">
        <v>7796</v>
      </c>
      <c r="H761" s="82">
        <v>1715.12</v>
      </c>
      <c r="I761">
        <f>YEAR(tbl_dashboard_ejm[[#This Row],[Fecha]])</f>
        <v>2019</v>
      </c>
      <c r="J761" t="str">
        <f>TEXT(tbl_dashboard_ejm[[#This Row],[Fecha]],"MMMM")</f>
        <v>agosto</v>
      </c>
      <c r="K761">
        <f>WEEKNUM(tbl_dashboard_ejm[[#This Row],[Fecha]],2)</f>
        <v>35</v>
      </c>
    </row>
    <row r="762" spans="2:11" x14ac:dyDescent="0.3">
      <c r="B762" s="67">
        <v>43708</v>
      </c>
      <c r="C762" t="s">
        <v>164</v>
      </c>
      <c r="D762" t="s">
        <v>161</v>
      </c>
      <c r="E762" t="s">
        <v>162</v>
      </c>
      <c r="F762" t="s">
        <v>169</v>
      </c>
      <c r="G762" s="82">
        <v>5191</v>
      </c>
      <c r="H762" s="82">
        <v>1401.57</v>
      </c>
      <c r="I762">
        <f>YEAR(tbl_dashboard_ejm[[#This Row],[Fecha]])</f>
        <v>2019</v>
      </c>
      <c r="J762" t="str">
        <f>TEXT(tbl_dashboard_ejm[[#This Row],[Fecha]],"MMMM")</f>
        <v>agosto</v>
      </c>
      <c r="K762">
        <f>WEEKNUM(tbl_dashboard_ejm[[#This Row],[Fecha]],2)</f>
        <v>35</v>
      </c>
    </row>
    <row r="763" spans="2:11" x14ac:dyDescent="0.3">
      <c r="B763" s="67">
        <v>43708</v>
      </c>
      <c r="C763" t="s">
        <v>167</v>
      </c>
      <c r="D763" t="s">
        <v>165</v>
      </c>
      <c r="E763" t="s">
        <v>162</v>
      </c>
      <c r="F763" t="s">
        <v>163</v>
      </c>
      <c r="G763" s="82">
        <v>10202</v>
      </c>
      <c r="H763" s="82">
        <v>4386.8599999999997</v>
      </c>
      <c r="I763">
        <f>YEAR(tbl_dashboard_ejm[[#This Row],[Fecha]])</f>
        <v>2019</v>
      </c>
      <c r="J763" t="str">
        <f>TEXT(tbl_dashboard_ejm[[#This Row],[Fecha]],"MMMM")</f>
        <v>agosto</v>
      </c>
      <c r="K763">
        <f>WEEKNUM(tbl_dashboard_ejm[[#This Row],[Fecha]],2)</f>
        <v>35</v>
      </c>
    </row>
    <row r="764" spans="2:11" x14ac:dyDescent="0.3">
      <c r="B764" s="67">
        <v>43708</v>
      </c>
      <c r="C764" t="s">
        <v>170</v>
      </c>
      <c r="D764" t="s">
        <v>168</v>
      </c>
      <c r="E764" t="s">
        <v>162</v>
      </c>
      <c r="F764" t="s">
        <v>163</v>
      </c>
      <c r="G764" s="82">
        <v>2542</v>
      </c>
      <c r="H764" s="82">
        <v>1118.48</v>
      </c>
      <c r="I764">
        <f>YEAR(tbl_dashboard_ejm[[#This Row],[Fecha]])</f>
        <v>2019</v>
      </c>
      <c r="J764" t="str">
        <f>TEXT(tbl_dashboard_ejm[[#This Row],[Fecha]],"MMMM")</f>
        <v>agosto</v>
      </c>
      <c r="K764">
        <f>WEEKNUM(tbl_dashboard_ejm[[#This Row],[Fecha]],2)</f>
        <v>35</v>
      </c>
    </row>
    <row r="765" spans="2:11" x14ac:dyDescent="0.3">
      <c r="B765" s="67">
        <v>43707</v>
      </c>
      <c r="C765" t="s">
        <v>171</v>
      </c>
      <c r="D765" t="s">
        <v>161</v>
      </c>
      <c r="E765" t="s">
        <v>162</v>
      </c>
      <c r="F765" t="s">
        <v>169</v>
      </c>
      <c r="G765" s="82">
        <v>7371</v>
      </c>
      <c r="H765" s="82">
        <v>2653.56</v>
      </c>
      <c r="I765">
        <f>YEAR(tbl_dashboard_ejm[[#This Row],[Fecha]])</f>
        <v>2019</v>
      </c>
      <c r="J765" t="str">
        <f>TEXT(tbl_dashboard_ejm[[#This Row],[Fecha]],"MMMM")</f>
        <v>agosto</v>
      </c>
      <c r="K765">
        <f>WEEKNUM(tbl_dashboard_ejm[[#This Row],[Fecha]],2)</f>
        <v>35</v>
      </c>
    </row>
    <row r="766" spans="2:11" x14ac:dyDescent="0.3">
      <c r="B766" s="67">
        <v>43703</v>
      </c>
      <c r="C766" t="s">
        <v>172</v>
      </c>
      <c r="D766" t="s">
        <v>165</v>
      </c>
      <c r="E766" t="s">
        <v>162</v>
      </c>
      <c r="F766" t="s">
        <v>163</v>
      </c>
      <c r="G766" s="82">
        <v>5407</v>
      </c>
      <c r="H766" s="82">
        <v>919.19</v>
      </c>
      <c r="I766">
        <f>YEAR(tbl_dashboard_ejm[[#This Row],[Fecha]])</f>
        <v>2019</v>
      </c>
      <c r="J766" t="str">
        <f>TEXT(tbl_dashboard_ejm[[#This Row],[Fecha]],"MMMM")</f>
        <v>agosto</v>
      </c>
      <c r="K766">
        <f>WEEKNUM(tbl_dashboard_ejm[[#This Row],[Fecha]],2)</f>
        <v>35</v>
      </c>
    </row>
    <row r="767" spans="2:11" x14ac:dyDescent="0.3">
      <c r="B767" s="67">
        <v>43702</v>
      </c>
      <c r="C767" t="s">
        <v>173</v>
      </c>
      <c r="D767" t="s">
        <v>168</v>
      </c>
      <c r="E767" t="s">
        <v>166</v>
      </c>
      <c r="F767" t="s">
        <v>169</v>
      </c>
      <c r="G767" s="82">
        <v>1917</v>
      </c>
      <c r="H767" s="82">
        <v>843.48</v>
      </c>
      <c r="I767">
        <f>YEAR(tbl_dashboard_ejm[[#This Row],[Fecha]])</f>
        <v>2019</v>
      </c>
      <c r="J767" t="str">
        <f>TEXT(tbl_dashboard_ejm[[#This Row],[Fecha]],"MMMM")</f>
        <v>agosto</v>
      </c>
      <c r="K767">
        <f>WEEKNUM(tbl_dashboard_ejm[[#This Row],[Fecha]],2)</f>
        <v>34</v>
      </c>
    </row>
    <row r="768" spans="2:11" x14ac:dyDescent="0.3">
      <c r="B768" s="67">
        <v>43702</v>
      </c>
      <c r="C768" t="s">
        <v>174</v>
      </c>
      <c r="D768" t="s">
        <v>168</v>
      </c>
      <c r="E768" t="s">
        <v>166</v>
      </c>
      <c r="F768" t="s">
        <v>169</v>
      </c>
      <c r="G768" s="82">
        <v>11893</v>
      </c>
      <c r="H768" s="82">
        <v>4281.4799999999996</v>
      </c>
      <c r="I768">
        <f>YEAR(tbl_dashboard_ejm[[#This Row],[Fecha]])</f>
        <v>2019</v>
      </c>
      <c r="J768" t="str">
        <f>TEXT(tbl_dashboard_ejm[[#This Row],[Fecha]],"MMMM")</f>
        <v>agosto</v>
      </c>
      <c r="K768">
        <f>WEEKNUM(tbl_dashboard_ejm[[#This Row],[Fecha]],2)</f>
        <v>34</v>
      </c>
    </row>
    <row r="769" spans="2:11" x14ac:dyDescent="0.3">
      <c r="B769" s="67">
        <v>43702</v>
      </c>
      <c r="C769" t="s">
        <v>175</v>
      </c>
      <c r="D769" t="s">
        <v>165</v>
      </c>
      <c r="E769" t="s">
        <v>162</v>
      </c>
      <c r="F769" t="s">
        <v>169</v>
      </c>
      <c r="G769" s="82">
        <v>3720</v>
      </c>
      <c r="H769" s="82">
        <v>1302</v>
      </c>
      <c r="I769">
        <f>YEAR(tbl_dashboard_ejm[[#This Row],[Fecha]])</f>
        <v>2019</v>
      </c>
      <c r="J769" t="str">
        <f>TEXT(tbl_dashboard_ejm[[#This Row],[Fecha]],"MMMM")</f>
        <v>agosto</v>
      </c>
      <c r="K769">
        <f>WEEKNUM(tbl_dashboard_ejm[[#This Row],[Fecha]],2)</f>
        <v>34</v>
      </c>
    </row>
    <row r="770" spans="2:11" x14ac:dyDescent="0.3">
      <c r="B770" s="67">
        <v>43702</v>
      </c>
      <c r="C770" t="s">
        <v>176</v>
      </c>
      <c r="D770" t="s">
        <v>165</v>
      </c>
      <c r="E770" t="s">
        <v>162</v>
      </c>
      <c r="F770" t="s">
        <v>169</v>
      </c>
      <c r="G770" s="82">
        <v>8990</v>
      </c>
      <c r="H770" s="82">
        <v>4045.5</v>
      </c>
      <c r="I770">
        <f>YEAR(tbl_dashboard_ejm[[#This Row],[Fecha]])</f>
        <v>2019</v>
      </c>
      <c r="J770" t="str">
        <f>TEXT(tbl_dashboard_ejm[[#This Row],[Fecha]],"MMMM")</f>
        <v>agosto</v>
      </c>
      <c r="K770">
        <f>WEEKNUM(tbl_dashboard_ejm[[#This Row],[Fecha]],2)</f>
        <v>34</v>
      </c>
    </row>
    <row r="771" spans="2:11" x14ac:dyDescent="0.3">
      <c r="B771" s="67">
        <v>43701</v>
      </c>
      <c r="C771" t="s">
        <v>177</v>
      </c>
      <c r="D771" t="s">
        <v>165</v>
      </c>
      <c r="E771" t="s">
        <v>166</v>
      </c>
      <c r="F771" t="s">
        <v>169</v>
      </c>
      <c r="G771" s="82">
        <v>4966</v>
      </c>
      <c r="H771" s="82">
        <v>943.54</v>
      </c>
      <c r="I771">
        <f>YEAR(tbl_dashboard_ejm[[#This Row],[Fecha]])</f>
        <v>2019</v>
      </c>
      <c r="J771" t="str">
        <f>TEXT(tbl_dashboard_ejm[[#This Row],[Fecha]],"MMMM")</f>
        <v>agosto</v>
      </c>
      <c r="K771">
        <f>WEEKNUM(tbl_dashboard_ejm[[#This Row],[Fecha]],2)</f>
        <v>34</v>
      </c>
    </row>
    <row r="772" spans="2:11" x14ac:dyDescent="0.3">
      <c r="B772" s="67">
        <v>43707</v>
      </c>
      <c r="C772" t="s">
        <v>178</v>
      </c>
      <c r="D772" t="s">
        <v>161</v>
      </c>
      <c r="E772" t="s">
        <v>166</v>
      </c>
      <c r="F772" t="s">
        <v>163</v>
      </c>
      <c r="G772" s="82">
        <v>3716</v>
      </c>
      <c r="H772" s="82">
        <v>1560.72</v>
      </c>
      <c r="I772">
        <f>YEAR(tbl_dashboard_ejm[[#This Row],[Fecha]])</f>
        <v>2019</v>
      </c>
      <c r="J772" t="str">
        <f>TEXT(tbl_dashboard_ejm[[#This Row],[Fecha]],"MMMM")</f>
        <v>agosto</v>
      </c>
      <c r="K772">
        <f>WEEKNUM(tbl_dashboard_ejm[[#This Row],[Fecha]],2)</f>
        <v>35</v>
      </c>
    </row>
    <row r="773" spans="2:11" x14ac:dyDescent="0.3">
      <c r="B773" s="67">
        <v>43707</v>
      </c>
      <c r="C773" t="s">
        <v>179</v>
      </c>
      <c r="D773" t="s">
        <v>161</v>
      </c>
      <c r="E773" t="s">
        <v>162</v>
      </c>
      <c r="F773" t="s">
        <v>163</v>
      </c>
      <c r="G773" s="82">
        <v>5439</v>
      </c>
      <c r="H773" s="82">
        <v>1359.75</v>
      </c>
      <c r="I773">
        <f>YEAR(tbl_dashboard_ejm[[#This Row],[Fecha]])</f>
        <v>2019</v>
      </c>
      <c r="J773" t="str">
        <f>TEXT(tbl_dashboard_ejm[[#This Row],[Fecha]],"MMMM")</f>
        <v>agosto</v>
      </c>
      <c r="K773">
        <f>WEEKNUM(tbl_dashboard_ejm[[#This Row],[Fecha]],2)</f>
        <v>35</v>
      </c>
    </row>
    <row r="774" spans="2:11" x14ac:dyDescent="0.3">
      <c r="B774" s="67">
        <v>43707</v>
      </c>
      <c r="C774" t="s">
        <v>180</v>
      </c>
      <c r="D774" t="s">
        <v>165</v>
      </c>
      <c r="E774" t="s">
        <v>162</v>
      </c>
      <c r="F774" t="s">
        <v>169</v>
      </c>
      <c r="G774" s="82">
        <v>11346</v>
      </c>
      <c r="H774" s="82">
        <v>5105.7</v>
      </c>
      <c r="I774">
        <f>YEAR(tbl_dashboard_ejm[[#This Row],[Fecha]])</f>
        <v>2019</v>
      </c>
      <c r="J774" t="str">
        <f>TEXT(tbl_dashboard_ejm[[#This Row],[Fecha]],"MMMM")</f>
        <v>agosto</v>
      </c>
      <c r="K774">
        <f>WEEKNUM(tbl_dashboard_ejm[[#This Row],[Fecha]],2)</f>
        <v>35</v>
      </c>
    </row>
    <row r="775" spans="2:11" x14ac:dyDescent="0.3">
      <c r="B775" s="67">
        <v>43738</v>
      </c>
      <c r="C775" t="s">
        <v>160</v>
      </c>
      <c r="D775" t="s">
        <v>168</v>
      </c>
      <c r="E775" t="s">
        <v>166</v>
      </c>
      <c r="F775" t="s">
        <v>169</v>
      </c>
      <c r="G775" s="82">
        <v>3570</v>
      </c>
      <c r="H775" s="82">
        <v>714</v>
      </c>
      <c r="I775">
        <f>YEAR(tbl_dashboard_ejm[[#This Row],[Fecha]])</f>
        <v>2019</v>
      </c>
      <c r="J775" t="str">
        <f>TEXT(tbl_dashboard_ejm[[#This Row],[Fecha]],"MMMM")</f>
        <v>septiembre</v>
      </c>
      <c r="K775">
        <f>WEEKNUM(tbl_dashboard_ejm[[#This Row],[Fecha]],2)</f>
        <v>40</v>
      </c>
    </row>
    <row r="776" spans="2:11" x14ac:dyDescent="0.3">
      <c r="B776" s="67">
        <v>43738</v>
      </c>
      <c r="C776" t="s">
        <v>164</v>
      </c>
      <c r="D776" t="s">
        <v>168</v>
      </c>
      <c r="E776" t="s">
        <v>162</v>
      </c>
      <c r="F776" t="s">
        <v>163</v>
      </c>
      <c r="G776" s="82">
        <v>10060</v>
      </c>
      <c r="H776" s="82">
        <v>3219.2</v>
      </c>
      <c r="I776">
        <f>YEAR(tbl_dashboard_ejm[[#This Row],[Fecha]])</f>
        <v>2019</v>
      </c>
      <c r="J776" t="str">
        <f>TEXT(tbl_dashboard_ejm[[#This Row],[Fecha]],"MMMM")</f>
        <v>septiembre</v>
      </c>
      <c r="K776">
        <f>WEEKNUM(tbl_dashboard_ejm[[#This Row],[Fecha]],2)</f>
        <v>40</v>
      </c>
    </row>
    <row r="777" spans="2:11" x14ac:dyDescent="0.3">
      <c r="B777" s="67">
        <v>43738</v>
      </c>
      <c r="C777" t="s">
        <v>167</v>
      </c>
      <c r="D777" t="s">
        <v>165</v>
      </c>
      <c r="E777" t="s">
        <v>162</v>
      </c>
      <c r="F777" t="s">
        <v>163</v>
      </c>
      <c r="G777" s="82">
        <v>5451</v>
      </c>
      <c r="H777" s="82">
        <v>1689.81</v>
      </c>
      <c r="I777">
        <f>YEAR(tbl_dashboard_ejm[[#This Row],[Fecha]])</f>
        <v>2019</v>
      </c>
      <c r="J777" t="str">
        <f>TEXT(tbl_dashboard_ejm[[#This Row],[Fecha]],"MMMM")</f>
        <v>septiembre</v>
      </c>
      <c r="K777">
        <f>WEEKNUM(tbl_dashboard_ejm[[#This Row],[Fecha]],2)</f>
        <v>40</v>
      </c>
    </row>
    <row r="778" spans="2:11" x14ac:dyDescent="0.3">
      <c r="B778" s="67">
        <v>43738</v>
      </c>
      <c r="C778" t="s">
        <v>170</v>
      </c>
      <c r="D778" t="s">
        <v>165</v>
      </c>
      <c r="E778" t="s">
        <v>162</v>
      </c>
      <c r="F778" t="s">
        <v>169</v>
      </c>
      <c r="G778" s="82">
        <v>7978</v>
      </c>
      <c r="H778" s="82">
        <v>3430.54</v>
      </c>
      <c r="I778">
        <f>YEAR(tbl_dashboard_ejm[[#This Row],[Fecha]])</f>
        <v>2019</v>
      </c>
      <c r="J778" t="str">
        <f>TEXT(tbl_dashboard_ejm[[#This Row],[Fecha]],"MMMM")</f>
        <v>septiembre</v>
      </c>
      <c r="K778">
        <f>WEEKNUM(tbl_dashboard_ejm[[#This Row],[Fecha]],2)</f>
        <v>40</v>
      </c>
    </row>
    <row r="779" spans="2:11" x14ac:dyDescent="0.3">
      <c r="B779" s="67">
        <v>43734</v>
      </c>
      <c r="C779" t="s">
        <v>171</v>
      </c>
      <c r="D779" t="s">
        <v>165</v>
      </c>
      <c r="E779" t="s">
        <v>166</v>
      </c>
      <c r="F779" t="s">
        <v>163</v>
      </c>
      <c r="G779" s="82">
        <v>9168</v>
      </c>
      <c r="H779" s="82">
        <v>3667.2</v>
      </c>
      <c r="I779">
        <f>YEAR(tbl_dashboard_ejm[[#This Row],[Fecha]])</f>
        <v>2019</v>
      </c>
      <c r="J779" t="str">
        <f>TEXT(tbl_dashboard_ejm[[#This Row],[Fecha]],"MMMM")</f>
        <v>septiembre</v>
      </c>
      <c r="K779">
        <f>WEEKNUM(tbl_dashboard_ejm[[#This Row],[Fecha]],2)</f>
        <v>39</v>
      </c>
    </row>
    <row r="780" spans="2:11" x14ac:dyDescent="0.3">
      <c r="B780" s="67">
        <v>43733</v>
      </c>
      <c r="C780" t="s">
        <v>172</v>
      </c>
      <c r="D780" t="s">
        <v>161</v>
      </c>
      <c r="E780" t="s">
        <v>166</v>
      </c>
      <c r="F780" t="s">
        <v>169</v>
      </c>
      <c r="G780" s="82">
        <v>4316</v>
      </c>
      <c r="H780" s="82">
        <v>776.88</v>
      </c>
      <c r="I780">
        <f>YEAR(tbl_dashboard_ejm[[#This Row],[Fecha]])</f>
        <v>2019</v>
      </c>
      <c r="J780" t="str">
        <f>TEXT(tbl_dashboard_ejm[[#This Row],[Fecha]],"MMMM")</f>
        <v>septiembre</v>
      </c>
      <c r="K780">
        <f>WEEKNUM(tbl_dashboard_ejm[[#This Row],[Fecha]],2)</f>
        <v>39</v>
      </c>
    </row>
    <row r="781" spans="2:11" x14ac:dyDescent="0.3">
      <c r="B781" s="67">
        <v>43733</v>
      </c>
      <c r="C781" t="s">
        <v>173</v>
      </c>
      <c r="D781" t="s">
        <v>165</v>
      </c>
      <c r="E781" t="s">
        <v>162</v>
      </c>
      <c r="F781" t="s">
        <v>169</v>
      </c>
      <c r="G781" s="82">
        <v>8909</v>
      </c>
      <c r="H781" s="82">
        <v>1336.35</v>
      </c>
      <c r="I781">
        <f>YEAR(tbl_dashboard_ejm[[#This Row],[Fecha]])</f>
        <v>2019</v>
      </c>
      <c r="J781" t="str">
        <f>TEXT(tbl_dashboard_ejm[[#This Row],[Fecha]],"MMMM")</f>
        <v>septiembre</v>
      </c>
      <c r="K781">
        <f>WEEKNUM(tbl_dashboard_ejm[[#This Row],[Fecha]],2)</f>
        <v>39</v>
      </c>
    </row>
    <row r="782" spans="2:11" x14ac:dyDescent="0.3">
      <c r="B782" s="67">
        <v>43733</v>
      </c>
      <c r="C782" t="s">
        <v>174</v>
      </c>
      <c r="D782" t="s">
        <v>165</v>
      </c>
      <c r="E782" t="s">
        <v>166</v>
      </c>
      <c r="F782" t="s">
        <v>169</v>
      </c>
      <c r="G782" s="82">
        <v>2572</v>
      </c>
      <c r="H782" s="82">
        <v>565.84</v>
      </c>
      <c r="I782">
        <f>YEAR(tbl_dashboard_ejm[[#This Row],[Fecha]])</f>
        <v>2019</v>
      </c>
      <c r="J782" t="str">
        <f>TEXT(tbl_dashboard_ejm[[#This Row],[Fecha]],"MMMM")</f>
        <v>septiembre</v>
      </c>
      <c r="K782">
        <f>WEEKNUM(tbl_dashboard_ejm[[#This Row],[Fecha]],2)</f>
        <v>39</v>
      </c>
    </row>
    <row r="783" spans="2:11" x14ac:dyDescent="0.3">
      <c r="B783" s="67">
        <v>43733</v>
      </c>
      <c r="C783" t="s">
        <v>175</v>
      </c>
      <c r="D783" t="s">
        <v>168</v>
      </c>
      <c r="E783" t="s">
        <v>166</v>
      </c>
      <c r="F783" t="s">
        <v>169</v>
      </c>
      <c r="G783" s="82">
        <v>3685</v>
      </c>
      <c r="H783" s="82">
        <v>1179.2</v>
      </c>
      <c r="I783">
        <f>YEAR(tbl_dashboard_ejm[[#This Row],[Fecha]])</f>
        <v>2019</v>
      </c>
      <c r="J783" t="str">
        <f>TEXT(tbl_dashboard_ejm[[#This Row],[Fecha]],"MMMM")</f>
        <v>septiembre</v>
      </c>
      <c r="K783">
        <f>WEEKNUM(tbl_dashboard_ejm[[#This Row],[Fecha]],2)</f>
        <v>39</v>
      </c>
    </row>
    <row r="784" spans="2:11" x14ac:dyDescent="0.3">
      <c r="B784" s="67">
        <v>43732</v>
      </c>
      <c r="C784" t="s">
        <v>176</v>
      </c>
      <c r="D784" t="s">
        <v>165</v>
      </c>
      <c r="E784" t="s">
        <v>162</v>
      </c>
      <c r="F784" t="s">
        <v>169</v>
      </c>
      <c r="G784" s="82">
        <v>10716</v>
      </c>
      <c r="H784" s="82">
        <v>2571.84</v>
      </c>
      <c r="I784">
        <f>YEAR(tbl_dashboard_ejm[[#This Row],[Fecha]])</f>
        <v>2019</v>
      </c>
      <c r="J784" t="str">
        <f>TEXT(tbl_dashboard_ejm[[#This Row],[Fecha]],"MMMM")</f>
        <v>septiembre</v>
      </c>
      <c r="K784">
        <f>WEEKNUM(tbl_dashboard_ejm[[#This Row],[Fecha]],2)</f>
        <v>39</v>
      </c>
    </row>
    <row r="785" spans="2:11" x14ac:dyDescent="0.3">
      <c r="B785" s="67">
        <v>43732</v>
      </c>
      <c r="C785" t="s">
        <v>177</v>
      </c>
      <c r="D785" t="s">
        <v>161</v>
      </c>
      <c r="E785" t="s">
        <v>162</v>
      </c>
      <c r="F785" t="s">
        <v>163</v>
      </c>
      <c r="G785" s="82">
        <v>5697</v>
      </c>
      <c r="H785" s="82">
        <v>1196.3699999999999</v>
      </c>
      <c r="I785">
        <f>YEAR(tbl_dashboard_ejm[[#This Row],[Fecha]])</f>
        <v>2019</v>
      </c>
      <c r="J785" t="str">
        <f>TEXT(tbl_dashboard_ejm[[#This Row],[Fecha]],"MMMM")</f>
        <v>septiembre</v>
      </c>
      <c r="K785">
        <f>WEEKNUM(tbl_dashboard_ejm[[#This Row],[Fecha]],2)</f>
        <v>39</v>
      </c>
    </row>
    <row r="786" spans="2:11" x14ac:dyDescent="0.3">
      <c r="B786" s="67">
        <v>43732</v>
      </c>
      <c r="C786" t="s">
        <v>178</v>
      </c>
      <c r="D786" t="s">
        <v>161</v>
      </c>
      <c r="E786" t="s">
        <v>162</v>
      </c>
      <c r="F786" t="s">
        <v>163</v>
      </c>
      <c r="G786" s="82">
        <v>9072</v>
      </c>
      <c r="H786" s="82">
        <v>3810.24</v>
      </c>
      <c r="I786">
        <f>YEAR(tbl_dashboard_ejm[[#This Row],[Fecha]])</f>
        <v>2019</v>
      </c>
      <c r="J786" t="str">
        <f>TEXT(tbl_dashboard_ejm[[#This Row],[Fecha]],"MMMM")</f>
        <v>septiembre</v>
      </c>
      <c r="K786">
        <f>WEEKNUM(tbl_dashboard_ejm[[#This Row],[Fecha]],2)</f>
        <v>39</v>
      </c>
    </row>
    <row r="787" spans="2:11" x14ac:dyDescent="0.3">
      <c r="B787" s="67">
        <v>43732</v>
      </c>
      <c r="C787" t="s">
        <v>179</v>
      </c>
      <c r="D787" t="s">
        <v>161</v>
      </c>
      <c r="E787" t="s">
        <v>162</v>
      </c>
      <c r="F787" t="s">
        <v>169</v>
      </c>
      <c r="G787" s="82">
        <v>8048</v>
      </c>
      <c r="H787" s="82">
        <v>3541.12</v>
      </c>
      <c r="I787">
        <f>YEAR(tbl_dashboard_ejm[[#This Row],[Fecha]])</f>
        <v>2019</v>
      </c>
      <c r="J787" t="str">
        <f>TEXT(tbl_dashboard_ejm[[#This Row],[Fecha]],"MMMM")</f>
        <v>septiembre</v>
      </c>
      <c r="K787">
        <f>WEEKNUM(tbl_dashboard_ejm[[#This Row],[Fecha]],2)</f>
        <v>39</v>
      </c>
    </row>
    <row r="788" spans="2:11" x14ac:dyDescent="0.3">
      <c r="B788" s="67">
        <v>43732</v>
      </c>
      <c r="C788" t="s">
        <v>180</v>
      </c>
      <c r="D788" t="s">
        <v>168</v>
      </c>
      <c r="E788" t="s">
        <v>162</v>
      </c>
      <c r="F788" t="s">
        <v>169</v>
      </c>
      <c r="G788" s="82">
        <v>1798</v>
      </c>
      <c r="H788" s="82">
        <v>683.24</v>
      </c>
      <c r="I788">
        <f>YEAR(tbl_dashboard_ejm[[#This Row],[Fecha]])</f>
        <v>2019</v>
      </c>
      <c r="J788" t="str">
        <f>TEXT(tbl_dashboard_ejm[[#This Row],[Fecha]],"MMMM")</f>
        <v>septiembre</v>
      </c>
      <c r="K788">
        <f>WEEKNUM(tbl_dashboard_ejm[[#This Row],[Fecha]],2)</f>
        <v>39</v>
      </c>
    </row>
    <row r="789" spans="2:11" x14ac:dyDescent="0.3">
      <c r="B789" s="67">
        <v>43732</v>
      </c>
      <c r="C789" t="s">
        <v>181</v>
      </c>
      <c r="D789" t="s">
        <v>161</v>
      </c>
      <c r="E789" t="s">
        <v>166</v>
      </c>
      <c r="F789" t="s">
        <v>163</v>
      </c>
      <c r="G789" s="82">
        <v>11640</v>
      </c>
      <c r="H789" s="82">
        <v>3375.6</v>
      </c>
      <c r="I789">
        <f>YEAR(tbl_dashboard_ejm[[#This Row],[Fecha]])</f>
        <v>2019</v>
      </c>
      <c r="J789" t="str">
        <f>TEXT(tbl_dashboard_ejm[[#This Row],[Fecha]],"MMMM")</f>
        <v>septiembre</v>
      </c>
      <c r="K789">
        <f>WEEKNUM(tbl_dashboard_ejm[[#This Row],[Fecha]],2)</f>
        <v>39</v>
      </c>
    </row>
    <row r="790" spans="2:11" x14ac:dyDescent="0.3">
      <c r="B790" s="67">
        <v>43732</v>
      </c>
      <c r="C790" t="s">
        <v>182</v>
      </c>
      <c r="D790" t="s">
        <v>161</v>
      </c>
      <c r="E790" t="s">
        <v>162</v>
      </c>
      <c r="F790" t="s">
        <v>163</v>
      </c>
      <c r="G790" s="82">
        <v>2932</v>
      </c>
      <c r="H790" s="82">
        <v>1231.44</v>
      </c>
      <c r="I790">
        <f>YEAR(tbl_dashboard_ejm[[#This Row],[Fecha]])</f>
        <v>2019</v>
      </c>
      <c r="J790" t="str">
        <f>TEXT(tbl_dashboard_ejm[[#This Row],[Fecha]],"MMMM")</f>
        <v>septiembre</v>
      </c>
      <c r="K790">
        <f>WEEKNUM(tbl_dashboard_ejm[[#This Row],[Fecha]],2)</f>
        <v>39</v>
      </c>
    </row>
    <row r="791" spans="2:11" x14ac:dyDescent="0.3">
      <c r="B791" s="67">
        <v>43738</v>
      </c>
      <c r="C791" t="s">
        <v>183</v>
      </c>
      <c r="D791" t="s">
        <v>168</v>
      </c>
      <c r="E791" t="s">
        <v>166</v>
      </c>
      <c r="F791" t="s">
        <v>169</v>
      </c>
      <c r="G791" s="82">
        <v>6654</v>
      </c>
      <c r="H791" s="82">
        <v>2861.22</v>
      </c>
      <c r="I791">
        <f>YEAR(tbl_dashboard_ejm[[#This Row],[Fecha]])</f>
        <v>2019</v>
      </c>
      <c r="J791" t="str">
        <f>TEXT(tbl_dashboard_ejm[[#This Row],[Fecha]],"MMMM")</f>
        <v>septiembre</v>
      </c>
      <c r="K791">
        <f>WEEKNUM(tbl_dashboard_ejm[[#This Row],[Fecha]],2)</f>
        <v>40</v>
      </c>
    </row>
    <row r="792" spans="2:11" x14ac:dyDescent="0.3">
      <c r="B792" s="67">
        <v>43734</v>
      </c>
      <c r="C792" t="s">
        <v>184</v>
      </c>
      <c r="D792" t="s">
        <v>161</v>
      </c>
      <c r="E792" t="s">
        <v>162</v>
      </c>
      <c r="F792" t="s">
        <v>163</v>
      </c>
      <c r="G792" s="82">
        <v>8405</v>
      </c>
      <c r="H792" s="82">
        <v>2101.25</v>
      </c>
      <c r="I792">
        <f>YEAR(tbl_dashboard_ejm[[#This Row],[Fecha]])</f>
        <v>2019</v>
      </c>
      <c r="J792" t="str">
        <f>TEXT(tbl_dashboard_ejm[[#This Row],[Fecha]],"MMMM")</f>
        <v>septiembre</v>
      </c>
      <c r="K792">
        <f>WEEKNUM(tbl_dashboard_ejm[[#This Row],[Fecha]],2)</f>
        <v>39</v>
      </c>
    </row>
    <row r="793" spans="2:11" x14ac:dyDescent="0.3">
      <c r="B793" s="67">
        <v>43733</v>
      </c>
      <c r="C793" t="s">
        <v>185</v>
      </c>
      <c r="D793" t="s">
        <v>168</v>
      </c>
      <c r="E793" t="s">
        <v>166</v>
      </c>
      <c r="F793" t="s">
        <v>169</v>
      </c>
      <c r="G793" s="82">
        <v>7351</v>
      </c>
      <c r="H793" s="82">
        <v>2058.2800000000002</v>
      </c>
      <c r="I793">
        <f>YEAR(tbl_dashboard_ejm[[#This Row],[Fecha]])</f>
        <v>2019</v>
      </c>
      <c r="J793" t="str">
        <f>TEXT(tbl_dashboard_ejm[[#This Row],[Fecha]],"MMMM")</f>
        <v>septiembre</v>
      </c>
      <c r="K793">
        <f>WEEKNUM(tbl_dashboard_ejm[[#This Row],[Fecha]],2)</f>
        <v>39</v>
      </c>
    </row>
    <row r="794" spans="2:11" x14ac:dyDescent="0.3">
      <c r="B794" s="67">
        <v>43733</v>
      </c>
      <c r="C794" t="s">
        <v>186</v>
      </c>
      <c r="D794" t="s">
        <v>168</v>
      </c>
      <c r="E794" t="s">
        <v>162</v>
      </c>
      <c r="F794" t="s">
        <v>169</v>
      </c>
      <c r="G794" s="82">
        <v>10303</v>
      </c>
      <c r="H794" s="82">
        <v>1957.57</v>
      </c>
      <c r="I794">
        <f>YEAR(tbl_dashboard_ejm[[#This Row],[Fecha]])</f>
        <v>2019</v>
      </c>
      <c r="J794" t="str">
        <f>TEXT(tbl_dashboard_ejm[[#This Row],[Fecha]],"MMMM")</f>
        <v>septiembre</v>
      </c>
      <c r="K794">
        <f>WEEKNUM(tbl_dashboard_ejm[[#This Row],[Fecha]],2)</f>
        <v>39</v>
      </c>
    </row>
    <row r="795" spans="2:11" x14ac:dyDescent="0.3">
      <c r="B795" s="67">
        <v>43733</v>
      </c>
      <c r="C795" t="s">
        <v>187</v>
      </c>
      <c r="D795" t="s">
        <v>168</v>
      </c>
      <c r="E795" t="s">
        <v>166</v>
      </c>
      <c r="F795" t="s">
        <v>169</v>
      </c>
      <c r="G795" s="82">
        <v>10433</v>
      </c>
      <c r="H795" s="82">
        <v>3129.9</v>
      </c>
      <c r="I795">
        <f>YEAR(tbl_dashboard_ejm[[#This Row],[Fecha]])</f>
        <v>2019</v>
      </c>
      <c r="J795" t="str">
        <f>TEXT(tbl_dashboard_ejm[[#This Row],[Fecha]],"MMMM")</f>
        <v>septiembre</v>
      </c>
      <c r="K795">
        <f>WEEKNUM(tbl_dashboard_ejm[[#This Row],[Fecha]],2)</f>
        <v>39</v>
      </c>
    </row>
    <row r="796" spans="2:11" x14ac:dyDescent="0.3">
      <c r="B796" s="67">
        <v>43733</v>
      </c>
      <c r="C796" t="s">
        <v>188</v>
      </c>
      <c r="D796" t="s">
        <v>168</v>
      </c>
      <c r="E796" t="s">
        <v>166</v>
      </c>
      <c r="F796" t="s">
        <v>169</v>
      </c>
      <c r="G796" s="82">
        <v>5960</v>
      </c>
      <c r="H796" s="82">
        <v>894</v>
      </c>
      <c r="I796">
        <f>YEAR(tbl_dashboard_ejm[[#This Row],[Fecha]])</f>
        <v>2019</v>
      </c>
      <c r="J796" t="str">
        <f>TEXT(tbl_dashboard_ejm[[#This Row],[Fecha]],"MMMM")</f>
        <v>septiembre</v>
      </c>
      <c r="K796">
        <f>WEEKNUM(tbl_dashboard_ejm[[#This Row],[Fecha]],2)</f>
        <v>39</v>
      </c>
    </row>
    <row r="797" spans="2:11" x14ac:dyDescent="0.3">
      <c r="B797" s="67">
        <v>43732</v>
      </c>
      <c r="C797" t="s">
        <v>189</v>
      </c>
      <c r="D797" t="s">
        <v>165</v>
      </c>
      <c r="E797" t="s">
        <v>162</v>
      </c>
      <c r="F797" t="s">
        <v>169</v>
      </c>
      <c r="G797" s="82">
        <v>11071</v>
      </c>
      <c r="H797" s="82">
        <v>3542.72</v>
      </c>
      <c r="I797">
        <f>YEAR(tbl_dashboard_ejm[[#This Row],[Fecha]])</f>
        <v>2019</v>
      </c>
      <c r="J797" t="str">
        <f>TEXT(tbl_dashboard_ejm[[#This Row],[Fecha]],"MMMM")</f>
        <v>septiembre</v>
      </c>
      <c r="K797">
        <f>WEEKNUM(tbl_dashboard_ejm[[#This Row],[Fecha]],2)</f>
        <v>39</v>
      </c>
    </row>
    <row r="798" spans="2:11" x14ac:dyDescent="0.3">
      <c r="B798" s="67">
        <v>43738</v>
      </c>
      <c r="C798" t="s">
        <v>190</v>
      </c>
      <c r="D798" t="s">
        <v>168</v>
      </c>
      <c r="E798" t="s">
        <v>162</v>
      </c>
      <c r="F798" t="s">
        <v>163</v>
      </c>
      <c r="G798" s="82">
        <v>2236</v>
      </c>
      <c r="H798" s="82">
        <v>491.92</v>
      </c>
      <c r="I798">
        <f>YEAR(tbl_dashboard_ejm[[#This Row],[Fecha]])</f>
        <v>2019</v>
      </c>
      <c r="J798" t="str">
        <f>TEXT(tbl_dashboard_ejm[[#This Row],[Fecha]],"MMMM")</f>
        <v>septiembre</v>
      </c>
      <c r="K798">
        <f>WEEKNUM(tbl_dashboard_ejm[[#This Row],[Fecha]],2)</f>
        <v>40</v>
      </c>
    </row>
    <row r="799" spans="2:11" x14ac:dyDescent="0.3">
      <c r="B799" s="67">
        <v>43738</v>
      </c>
      <c r="C799" t="s">
        <v>191</v>
      </c>
      <c r="D799" t="s">
        <v>161</v>
      </c>
      <c r="E799" t="s">
        <v>162</v>
      </c>
      <c r="F799" t="s">
        <v>163</v>
      </c>
      <c r="G799" s="82">
        <v>9338</v>
      </c>
      <c r="H799" s="82">
        <v>2894.78</v>
      </c>
      <c r="I799">
        <f>YEAR(tbl_dashboard_ejm[[#This Row],[Fecha]])</f>
        <v>2019</v>
      </c>
      <c r="J799" t="str">
        <f>TEXT(tbl_dashboard_ejm[[#This Row],[Fecha]],"MMMM")</f>
        <v>septiembre</v>
      </c>
      <c r="K799">
        <f>WEEKNUM(tbl_dashboard_ejm[[#This Row],[Fecha]],2)</f>
        <v>40</v>
      </c>
    </row>
    <row r="800" spans="2:11" x14ac:dyDescent="0.3">
      <c r="B800" s="67">
        <v>43738</v>
      </c>
      <c r="C800" t="s">
        <v>192</v>
      </c>
      <c r="D800" t="s">
        <v>165</v>
      </c>
      <c r="E800" t="s">
        <v>166</v>
      </c>
      <c r="F800" t="s">
        <v>169</v>
      </c>
      <c r="G800" s="82">
        <v>8084</v>
      </c>
      <c r="H800" s="82">
        <v>3152.76</v>
      </c>
      <c r="I800">
        <f>YEAR(tbl_dashboard_ejm[[#This Row],[Fecha]])</f>
        <v>2019</v>
      </c>
      <c r="J800" t="str">
        <f>TEXT(tbl_dashboard_ejm[[#This Row],[Fecha]],"MMMM")</f>
        <v>septiembre</v>
      </c>
      <c r="K800">
        <f>WEEKNUM(tbl_dashboard_ejm[[#This Row],[Fecha]],2)</f>
        <v>40</v>
      </c>
    </row>
    <row r="801" spans="2:11" x14ac:dyDescent="0.3">
      <c r="B801" s="67">
        <v>43738</v>
      </c>
      <c r="C801" t="s">
        <v>193</v>
      </c>
      <c r="D801" t="s">
        <v>168</v>
      </c>
      <c r="E801" t="s">
        <v>166</v>
      </c>
      <c r="F801" t="s">
        <v>169</v>
      </c>
      <c r="G801" s="82">
        <v>8669</v>
      </c>
      <c r="H801" s="82">
        <v>1300.3499999999999</v>
      </c>
      <c r="I801">
        <f>YEAR(tbl_dashboard_ejm[[#This Row],[Fecha]])</f>
        <v>2019</v>
      </c>
      <c r="J801" t="str">
        <f>TEXT(tbl_dashboard_ejm[[#This Row],[Fecha]],"MMMM")</f>
        <v>septiembre</v>
      </c>
      <c r="K801">
        <f>WEEKNUM(tbl_dashboard_ejm[[#This Row],[Fecha]],2)</f>
        <v>40</v>
      </c>
    </row>
    <row r="802" spans="2:11" x14ac:dyDescent="0.3">
      <c r="B802" s="67">
        <v>43738</v>
      </c>
      <c r="C802" t="s">
        <v>194</v>
      </c>
      <c r="D802" t="s">
        <v>165</v>
      </c>
      <c r="E802" t="s">
        <v>162</v>
      </c>
      <c r="F802" t="s">
        <v>163</v>
      </c>
      <c r="G802" s="82">
        <v>8873</v>
      </c>
      <c r="H802" s="82">
        <v>3105.55</v>
      </c>
      <c r="I802">
        <f>YEAR(tbl_dashboard_ejm[[#This Row],[Fecha]])</f>
        <v>2019</v>
      </c>
      <c r="J802" t="str">
        <f>TEXT(tbl_dashboard_ejm[[#This Row],[Fecha]],"MMMM")</f>
        <v>septiembre</v>
      </c>
      <c r="K802">
        <f>WEEKNUM(tbl_dashboard_ejm[[#This Row],[Fecha]],2)</f>
        <v>40</v>
      </c>
    </row>
    <row r="803" spans="2:11" x14ac:dyDescent="0.3">
      <c r="B803" s="67">
        <v>43738</v>
      </c>
      <c r="C803" t="s">
        <v>195</v>
      </c>
      <c r="D803" t="s">
        <v>165</v>
      </c>
      <c r="E803" t="s">
        <v>166</v>
      </c>
      <c r="F803" t="s">
        <v>163</v>
      </c>
      <c r="G803" s="82">
        <v>11732</v>
      </c>
      <c r="H803" s="82">
        <v>4106.2</v>
      </c>
      <c r="I803">
        <f>YEAR(tbl_dashboard_ejm[[#This Row],[Fecha]])</f>
        <v>2019</v>
      </c>
      <c r="J803" t="str">
        <f>TEXT(tbl_dashboard_ejm[[#This Row],[Fecha]],"MMMM")</f>
        <v>septiembre</v>
      </c>
      <c r="K803">
        <f>WEEKNUM(tbl_dashboard_ejm[[#This Row],[Fecha]],2)</f>
        <v>40</v>
      </c>
    </row>
    <row r="804" spans="2:11" x14ac:dyDescent="0.3">
      <c r="B804" s="67">
        <v>43738</v>
      </c>
      <c r="C804" t="s">
        <v>196</v>
      </c>
      <c r="D804" t="s">
        <v>165</v>
      </c>
      <c r="E804" t="s">
        <v>162</v>
      </c>
      <c r="F804" t="s">
        <v>169</v>
      </c>
      <c r="G804" s="82">
        <v>3379</v>
      </c>
      <c r="H804" s="82">
        <v>1385.39</v>
      </c>
      <c r="I804">
        <f>YEAR(tbl_dashboard_ejm[[#This Row],[Fecha]])</f>
        <v>2019</v>
      </c>
      <c r="J804" t="str">
        <f>TEXT(tbl_dashboard_ejm[[#This Row],[Fecha]],"MMMM")</f>
        <v>septiembre</v>
      </c>
      <c r="K804">
        <f>WEEKNUM(tbl_dashboard_ejm[[#This Row],[Fecha]],2)</f>
        <v>40</v>
      </c>
    </row>
    <row r="805" spans="2:11" x14ac:dyDescent="0.3">
      <c r="B805" s="67">
        <v>43764</v>
      </c>
      <c r="C805" t="s">
        <v>160</v>
      </c>
      <c r="D805" t="s">
        <v>161</v>
      </c>
      <c r="E805" t="s">
        <v>162</v>
      </c>
      <c r="F805" t="s">
        <v>163</v>
      </c>
      <c r="G805" s="82">
        <v>1885</v>
      </c>
      <c r="H805" s="82">
        <v>716.3</v>
      </c>
      <c r="I805">
        <f>YEAR(tbl_dashboard_ejm[[#This Row],[Fecha]])</f>
        <v>2019</v>
      </c>
      <c r="J805" t="str">
        <f>TEXT(tbl_dashboard_ejm[[#This Row],[Fecha]],"MMMM")</f>
        <v>octubre</v>
      </c>
      <c r="K805">
        <f>WEEKNUM(tbl_dashboard_ejm[[#This Row],[Fecha]],2)</f>
        <v>43</v>
      </c>
    </row>
    <row r="806" spans="2:11" x14ac:dyDescent="0.3">
      <c r="B806" s="67">
        <v>43763</v>
      </c>
      <c r="C806" t="s">
        <v>164</v>
      </c>
      <c r="D806" t="s">
        <v>165</v>
      </c>
      <c r="E806" t="s">
        <v>166</v>
      </c>
      <c r="F806" t="s">
        <v>169</v>
      </c>
      <c r="G806" s="82">
        <v>7223</v>
      </c>
      <c r="H806" s="82">
        <v>3033.66</v>
      </c>
      <c r="I806">
        <f>YEAR(tbl_dashboard_ejm[[#This Row],[Fecha]])</f>
        <v>2019</v>
      </c>
      <c r="J806" t="str">
        <f>TEXT(tbl_dashboard_ejm[[#This Row],[Fecha]],"MMMM")</f>
        <v>octubre</v>
      </c>
      <c r="K806">
        <f>WEEKNUM(tbl_dashboard_ejm[[#This Row],[Fecha]],2)</f>
        <v>43</v>
      </c>
    </row>
    <row r="807" spans="2:11" x14ac:dyDescent="0.3">
      <c r="B807" s="67">
        <v>43763</v>
      </c>
      <c r="C807" t="s">
        <v>167</v>
      </c>
      <c r="D807" t="s">
        <v>168</v>
      </c>
      <c r="E807" t="s">
        <v>162</v>
      </c>
      <c r="F807" t="s">
        <v>169</v>
      </c>
      <c r="G807" s="82">
        <v>11457</v>
      </c>
      <c r="H807" s="82">
        <v>5155.6499999999996</v>
      </c>
      <c r="I807">
        <f>YEAR(tbl_dashboard_ejm[[#This Row],[Fecha]])</f>
        <v>2019</v>
      </c>
      <c r="J807" t="str">
        <f>TEXT(tbl_dashboard_ejm[[#This Row],[Fecha]],"MMMM")</f>
        <v>octubre</v>
      </c>
      <c r="K807">
        <f>WEEKNUM(tbl_dashboard_ejm[[#This Row],[Fecha]],2)</f>
        <v>43</v>
      </c>
    </row>
    <row r="808" spans="2:11" x14ac:dyDescent="0.3">
      <c r="B808" s="67">
        <v>43763</v>
      </c>
      <c r="C808" t="s">
        <v>170</v>
      </c>
      <c r="D808" t="s">
        <v>161</v>
      </c>
      <c r="E808" t="s">
        <v>166</v>
      </c>
      <c r="F808" t="s">
        <v>169</v>
      </c>
      <c r="G808" s="82">
        <v>2526</v>
      </c>
      <c r="H808" s="82">
        <v>959.88</v>
      </c>
      <c r="I808">
        <f>YEAR(tbl_dashboard_ejm[[#This Row],[Fecha]])</f>
        <v>2019</v>
      </c>
      <c r="J808" t="str">
        <f>TEXT(tbl_dashboard_ejm[[#This Row],[Fecha]],"MMMM")</f>
        <v>octubre</v>
      </c>
      <c r="K808">
        <f>WEEKNUM(tbl_dashboard_ejm[[#This Row],[Fecha]],2)</f>
        <v>43</v>
      </c>
    </row>
    <row r="809" spans="2:11" x14ac:dyDescent="0.3">
      <c r="B809" s="67">
        <v>43763</v>
      </c>
      <c r="C809" t="s">
        <v>171</v>
      </c>
      <c r="D809" t="s">
        <v>165</v>
      </c>
      <c r="E809" t="s">
        <v>166</v>
      </c>
      <c r="F809" t="s">
        <v>169</v>
      </c>
      <c r="G809" s="82">
        <v>8643</v>
      </c>
      <c r="H809" s="82">
        <v>3197.91</v>
      </c>
      <c r="I809">
        <f>YEAR(tbl_dashboard_ejm[[#This Row],[Fecha]])</f>
        <v>2019</v>
      </c>
      <c r="J809" t="str">
        <f>TEXT(tbl_dashboard_ejm[[#This Row],[Fecha]],"MMMM")</f>
        <v>octubre</v>
      </c>
      <c r="K809">
        <f>WEEKNUM(tbl_dashboard_ejm[[#This Row],[Fecha]],2)</f>
        <v>43</v>
      </c>
    </row>
    <row r="810" spans="2:11" x14ac:dyDescent="0.3">
      <c r="B810" s="67">
        <v>43762</v>
      </c>
      <c r="C810" t="s">
        <v>172</v>
      </c>
      <c r="D810" t="s">
        <v>165</v>
      </c>
      <c r="E810" t="s">
        <v>166</v>
      </c>
      <c r="F810" t="s">
        <v>169</v>
      </c>
      <c r="G810" s="82">
        <v>1786</v>
      </c>
      <c r="H810" s="82">
        <v>392.92</v>
      </c>
      <c r="I810">
        <f>YEAR(tbl_dashboard_ejm[[#This Row],[Fecha]])</f>
        <v>2019</v>
      </c>
      <c r="J810" t="str">
        <f>TEXT(tbl_dashboard_ejm[[#This Row],[Fecha]],"MMMM")</f>
        <v>octubre</v>
      </c>
      <c r="K810">
        <f>WEEKNUM(tbl_dashboard_ejm[[#This Row],[Fecha]],2)</f>
        <v>43</v>
      </c>
    </row>
    <row r="811" spans="2:11" x14ac:dyDescent="0.3">
      <c r="B811" s="67">
        <v>43769</v>
      </c>
      <c r="C811" t="s">
        <v>173</v>
      </c>
      <c r="D811" t="s">
        <v>161</v>
      </c>
      <c r="E811" t="s">
        <v>162</v>
      </c>
      <c r="F811" t="s">
        <v>163</v>
      </c>
      <c r="G811" s="82">
        <v>8903</v>
      </c>
      <c r="H811" s="82">
        <v>1335.45</v>
      </c>
      <c r="I811">
        <f>YEAR(tbl_dashboard_ejm[[#This Row],[Fecha]])</f>
        <v>2019</v>
      </c>
      <c r="J811" t="str">
        <f>TEXT(tbl_dashboard_ejm[[#This Row],[Fecha]],"MMMM")</f>
        <v>octubre</v>
      </c>
      <c r="K811">
        <f>WEEKNUM(tbl_dashboard_ejm[[#This Row],[Fecha]],2)</f>
        <v>44</v>
      </c>
    </row>
    <row r="812" spans="2:11" x14ac:dyDescent="0.3">
      <c r="B812" s="67">
        <v>43769</v>
      </c>
      <c r="C812" t="s">
        <v>174</v>
      </c>
      <c r="D812" t="s">
        <v>165</v>
      </c>
      <c r="E812" t="s">
        <v>162</v>
      </c>
      <c r="F812" t="s">
        <v>163</v>
      </c>
      <c r="G812" s="82">
        <v>5866</v>
      </c>
      <c r="H812" s="82">
        <v>997.22</v>
      </c>
      <c r="I812">
        <f>YEAR(tbl_dashboard_ejm[[#This Row],[Fecha]])</f>
        <v>2019</v>
      </c>
      <c r="J812" t="str">
        <f>TEXT(tbl_dashboard_ejm[[#This Row],[Fecha]],"MMMM")</f>
        <v>octubre</v>
      </c>
      <c r="K812">
        <f>WEEKNUM(tbl_dashboard_ejm[[#This Row],[Fecha]],2)</f>
        <v>44</v>
      </c>
    </row>
    <row r="813" spans="2:11" x14ac:dyDescent="0.3">
      <c r="B813" s="67">
        <v>43769</v>
      </c>
      <c r="C813" t="s">
        <v>175</v>
      </c>
      <c r="D813" t="s">
        <v>168</v>
      </c>
      <c r="E813" t="s">
        <v>162</v>
      </c>
      <c r="F813" t="s">
        <v>169</v>
      </c>
      <c r="G813" s="82">
        <v>9172</v>
      </c>
      <c r="H813" s="82">
        <v>2659.88</v>
      </c>
      <c r="I813">
        <f>YEAR(tbl_dashboard_ejm[[#This Row],[Fecha]])</f>
        <v>2019</v>
      </c>
      <c r="J813" t="str">
        <f>TEXT(tbl_dashboard_ejm[[#This Row],[Fecha]],"MMMM")</f>
        <v>octubre</v>
      </c>
      <c r="K813">
        <f>WEEKNUM(tbl_dashboard_ejm[[#This Row],[Fecha]],2)</f>
        <v>44</v>
      </c>
    </row>
    <row r="814" spans="2:11" x14ac:dyDescent="0.3">
      <c r="B814" s="67">
        <v>43769</v>
      </c>
      <c r="C814" t="s">
        <v>176</v>
      </c>
      <c r="D814" t="s">
        <v>161</v>
      </c>
      <c r="E814" t="s">
        <v>166</v>
      </c>
      <c r="F814" t="s">
        <v>169</v>
      </c>
      <c r="G814" s="82">
        <v>11208</v>
      </c>
      <c r="H814" s="82">
        <v>2353.6799999999998</v>
      </c>
      <c r="I814">
        <f>YEAR(tbl_dashboard_ejm[[#This Row],[Fecha]])</f>
        <v>2019</v>
      </c>
      <c r="J814" t="str">
        <f>TEXT(tbl_dashboard_ejm[[#This Row],[Fecha]],"MMMM")</f>
        <v>octubre</v>
      </c>
      <c r="K814">
        <f>WEEKNUM(tbl_dashboard_ejm[[#This Row],[Fecha]],2)</f>
        <v>44</v>
      </c>
    </row>
    <row r="815" spans="2:11" x14ac:dyDescent="0.3">
      <c r="B815" s="67">
        <v>43769</v>
      </c>
      <c r="C815" t="s">
        <v>177</v>
      </c>
      <c r="D815" t="s">
        <v>165</v>
      </c>
      <c r="E815" t="s">
        <v>162</v>
      </c>
      <c r="F815" t="s">
        <v>163</v>
      </c>
      <c r="G815" s="82">
        <v>1314</v>
      </c>
      <c r="H815" s="82">
        <v>302.22000000000003</v>
      </c>
      <c r="I815">
        <f>YEAR(tbl_dashboard_ejm[[#This Row],[Fecha]])</f>
        <v>2019</v>
      </c>
      <c r="J815" t="str">
        <f>TEXT(tbl_dashboard_ejm[[#This Row],[Fecha]],"MMMM")</f>
        <v>octubre</v>
      </c>
      <c r="K815">
        <f>WEEKNUM(tbl_dashboard_ejm[[#This Row],[Fecha]],2)</f>
        <v>44</v>
      </c>
    </row>
    <row r="816" spans="2:11" x14ac:dyDescent="0.3">
      <c r="B816" s="67">
        <v>43769</v>
      </c>
      <c r="C816" t="s">
        <v>178</v>
      </c>
      <c r="D816" t="s">
        <v>168</v>
      </c>
      <c r="E816" t="s">
        <v>166</v>
      </c>
      <c r="F816" t="s">
        <v>163</v>
      </c>
      <c r="G816" s="82">
        <v>1834</v>
      </c>
      <c r="H816" s="82">
        <v>476.84</v>
      </c>
      <c r="I816">
        <f>YEAR(tbl_dashboard_ejm[[#This Row],[Fecha]])</f>
        <v>2019</v>
      </c>
      <c r="J816" t="str">
        <f>TEXT(tbl_dashboard_ejm[[#This Row],[Fecha]],"MMMM")</f>
        <v>octubre</v>
      </c>
      <c r="K816">
        <f>WEEKNUM(tbl_dashboard_ejm[[#This Row],[Fecha]],2)</f>
        <v>44</v>
      </c>
    </row>
    <row r="817" spans="2:11" x14ac:dyDescent="0.3">
      <c r="B817" s="67">
        <v>43768</v>
      </c>
      <c r="C817" t="s">
        <v>179</v>
      </c>
      <c r="D817" t="s">
        <v>168</v>
      </c>
      <c r="E817" t="s">
        <v>166</v>
      </c>
      <c r="F817" t="s">
        <v>169</v>
      </c>
      <c r="G817" s="82">
        <v>5577</v>
      </c>
      <c r="H817" s="82">
        <v>2509.65</v>
      </c>
      <c r="I817">
        <f>YEAR(tbl_dashboard_ejm[[#This Row],[Fecha]])</f>
        <v>2019</v>
      </c>
      <c r="J817" t="str">
        <f>TEXT(tbl_dashboard_ejm[[#This Row],[Fecha]],"MMMM")</f>
        <v>octubre</v>
      </c>
      <c r="K817">
        <f>WEEKNUM(tbl_dashboard_ejm[[#This Row],[Fecha]],2)</f>
        <v>44</v>
      </c>
    </row>
    <row r="818" spans="2:11" x14ac:dyDescent="0.3">
      <c r="B818" s="67">
        <v>43764</v>
      </c>
      <c r="C818" t="s">
        <v>180</v>
      </c>
      <c r="D818" t="s">
        <v>165</v>
      </c>
      <c r="E818" t="s">
        <v>166</v>
      </c>
      <c r="F818" t="s">
        <v>163</v>
      </c>
      <c r="G818" s="82">
        <v>9480</v>
      </c>
      <c r="H818" s="82">
        <v>3128.4</v>
      </c>
      <c r="I818">
        <f>YEAR(tbl_dashboard_ejm[[#This Row],[Fecha]])</f>
        <v>2019</v>
      </c>
      <c r="J818" t="str">
        <f>TEXT(tbl_dashboard_ejm[[#This Row],[Fecha]],"MMMM")</f>
        <v>octubre</v>
      </c>
      <c r="K818">
        <f>WEEKNUM(tbl_dashboard_ejm[[#This Row],[Fecha]],2)</f>
        <v>43</v>
      </c>
    </row>
    <row r="819" spans="2:11" x14ac:dyDescent="0.3">
      <c r="B819" s="67">
        <v>43763</v>
      </c>
      <c r="C819" t="s">
        <v>181</v>
      </c>
      <c r="D819" t="s">
        <v>165</v>
      </c>
      <c r="E819" t="s">
        <v>166</v>
      </c>
      <c r="F819" t="s">
        <v>169</v>
      </c>
      <c r="G819" s="82">
        <v>7364</v>
      </c>
      <c r="H819" s="82">
        <v>1472.8</v>
      </c>
      <c r="I819">
        <f>YEAR(tbl_dashboard_ejm[[#This Row],[Fecha]])</f>
        <v>2019</v>
      </c>
      <c r="J819" t="str">
        <f>TEXT(tbl_dashboard_ejm[[#This Row],[Fecha]],"MMMM")</f>
        <v>octubre</v>
      </c>
      <c r="K819">
        <f>WEEKNUM(tbl_dashboard_ejm[[#This Row],[Fecha]],2)</f>
        <v>43</v>
      </c>
    </row>
    <row r="820" spans="2:11" x14ac:dyDescent="0.3">
      <c r="B820" s="67">
        <v>43763</v>
      </c>
      <c r="C820" t="s">
        <v>182</v>
      </c>
      <c r="D820" t="s">
        <v>165</v>
      </c>
      <c r="E820" t="s">
        <v>162</v>
      </c>
      <c r="F820" t="s">
        <v>169</v>
      </c>
      <c r="G820" s="82">
        <v>5268</v>
      </c>
      <c r="H820" s="82">
        <v>2265.2399999999998</v>
      </c>
      <c r="I820">
        <f>YEAR(tbl_dashboard_ejm[[#This Row],[Fecha]])</f>
        <v>2019</v>
      </c>
      <c r="J820" t="str">
        <f>TEXT(tbl_dashboard_ejm[[#This Row],[Fecha]],"MMMM")</f>
        <v>octubre</v>
      </c>
      <c r="K820">
        <f>WEEKNUM(tbl_dashboard_ejm[[#This Row],[Fecha]],2)</f>
        <v>43</v>
      </c>
    </row>
    <row r="821" spans="2:11" x14ac:dyDescent="0.3">
      <c r="B821" s="67">
        <v>43763</v>
      </c>
      <c r="C821" t="s">
        <v>183</v>
      </c>
      <c r="D821" t="s">
        <v>161</v>
      </c>
      <c r="E821" t="s">
        <v>162</v>
      </c>
      <c r="F821" t="s">
        <v>169</v>
      </c>
      <c r="G821" s="82">
        <v>6689</v>
      </c>
      <c r="H821" s="82">
        <v>1872.92</v>
      </c>
      <c r="I821">
        <f>YEAR(tbl_dashboard_ejm[[#This Row],[Fecha]])</f>
        <v>2019</v>
      </c>
      <c r="J821" t="str">
        <f>TEXT(tbl_dashboard_ejm[[#This Row],[Fecha]],"MMMM")</f>
        <v>octubre</v>
      </c>
      <c r="K821">
        <f>WEEKNUM(tbl_dashboard_ejm[[#This Row],[Fecha]],2)</f>
        <v>43</v>
      </c>
    </row>
    <row r="822" spans="2:11" x14ac:dyDescent="0.3">
      <c r="B822" s="67">
        <v>43763</v>
      </c>
      <c r="C822" t="s">
        <v>184</v>
      </c>
      <c r="D822" t="s">
        <v>161</v>
      </c>
      <c r="E822" t="s">
        <v>162</v>
      </c>
      <c r="F822" t="s">
        <v>169</v>
      </c>
      <c r="G822" s="82">
        <v>8902</v>
      </c>
      <c r="H822" s="82">
        <v>2314.52</v>
      </c>
      <c r="I822">
        <f>YEAR(tbl_dashboard_ejm[[#This Row],[Fecha]])</f>
        <v>2019</v>
      </c>
      <c r="J822" t="str">
        <f>TEXT(tbl_dashboard_ejm[[#This Row],[Fecha]],"MMMM")</f>
        <v>octubre</v>
      </c>
      <c r="K822">
        <f>WEEKNUM(tbl_dashboard_ejm[[#This Row],[Fecha]],2)</f>
        <v>43</v>
      </c>
    </row>
    <row r="823" spans="2:11" x14ac:dyDescent="0.3">
      <c r="B823" s="67">
        <v>43762</v>
      </c>
      <c r="C823" t="s">
        <v>185</v>
      </c>
      <c r="D823" t="s">
        <v>165</v>
      </c>
      <c r="E823" t="s">
        <v>166</v>
      </c>
      <c r="F823" t="s">
        <v>169</v>
      </c>
      <c r="G823" s="82">
        <v>4397</v>
      </c>
      <c r="H823" s="82">
        <v>1626.89</v>
      </c>
      <c r="I823">
        <f>YEAR(tbl_dashboard_ejm[[#This Row],[Fecha]])</f>
        <v>2019</v>
      </c>
      <c r="J823" t="str">
        <f>TEXT(tbl_dashboard_ejm[[#This Row],[Fecha]],"MMMM")</f>
        <v>octubre</v>
      </c>
      <c r="K823">
        <f>WEEKNUM(tbl_dashboard_ejm[[#This Row],[Fecha]],2)</f>
        <v>43</v>
      </c>
    </row>
    <row r="824" spans="2:11" x14ac:dyDescent="0.3">
      <c r="B824" s="67">
        <v>43768</v>
      </c>
      <c r="C824" t="s">
        <v>186</v>
      </c>
      <c r="D824" t="s">
        <v>168</v>
      </c>
      <c r="E824" t="s">
        <v>166</v>
      </c>
      <c r="F824" t="s">
        <v>163</v>
      </c>
      <c r="G824" s="82">
        <v>9930</v>
      </c>
      <c r="H824" s="82">
        <v>3574.8</v>
      </c>
      <c r="I824">
        <f>YEAR(tbl_dashboard_ejm[[#This Row],[Fecha]])</f>
        <v>2019</v>
      </c>
      <c r="J824" t="str">
        <f>TEXT(tbl_dashboard_ejm[[#This Row],[Fecha]],"MMMM")</f>
        <v>octubre</v>
      </c>
      <c r="K824">
        <f>WEEKNUM(tbl_dashboard_ejm[[#This Row],[Fecha]],2)</f>
        <v>44</v>
      </c>
    </row>
    <row r="825" spans="2:11" x14ac:dyDescent="0.3">
      <c r="B825" s="67">
        <v>43768</v>
      </c>
      <c r="C825" t="s">
        <v>187</v>
      </c>
      <c r="D825" t="s">
        <v>168</v>
      </c>
      <c r="E825" t="s">
        <v>162</v>
      </c>
      <c r="F825" t="s">
        <v>163</v>
      </c>
      <c r="G825" s="82">
        <v>1145</v>
      </c>
      <c r="H825" s="82">
        <v>251.9</v>
      </c>
      <c r="I825">
        <f>YEAR(tbl_dashboard_ejm[[#This Row],[Fecha]])</f>
        <v>2019</v>
      </c>
      <c r="J825" t="str">
        <f>TEXT(tbl_dashboard_ejm[[#This Row],[Fecha]],"MMMM")</f>
        <v>octubre</v>
      </c>
      <c r="K825">
        <f>WEEKNUM(tbl_dashboard_ejm[[#This Row],[Fecha]],2)</f>
        <v>44</v>
      </c>
    </row>
    <row r="826" spans="2:11" x14ac:dyDescent="0.3">
      <c r="B826" s="67">
        <v>43768</v>
      </c>
      <c r="C826" t="s">
        <v>188</v>
      </c>
      <c r="D826" t="s">
        <v>165</v>
      </c>
      <c r="E826" t="s">
        <v>162</v>
      </c>
      <c r="F826" t="s">
        <v>169</v>
      </c>
      <c r="G826" s="82">
        <v>5820</v>
      </c>
      <c r="H826" s="82">
        <v>1862.4</v>
      </c>
      <c r="I826">
        <f>YEAR(tbl_dashboard_ejm[[#This Row],[Fecha]])</f>
        <v>2019</v>
      </c>
      <c r="J826" t="str">
        <f>TEXT(tbl_dashboard_ejm[[#This Row],[Fecha]],"MMMM")</f>
        <v>octubre</v>
      </c>
      <c r="K826">
        <f>WEEKNUM(tbl_dashboard_ejm[[#This Row],[Fecha]],2)</f>
        <v>44</v>
      </c>
    </row>
    <row r="827" spans="2:11" x14ac:dyDescent="0.3">
      <c r="B827" s="67">
        <v>43799</v>
      </c>
      <c r="C827" t="s">
        <v>160</v>
      </c>
      <c r="D827" t="s">
        <v>165</v>
      </c>
      <c r="E827" t="s">
        <v>166</v>
      </c>
      <c r="F827" t="s">
        <v>169</v>
      </c>
      <c r="G827" s="82">
        <v>6044</v>
      </c>
      <c r="H827" s="82">
        <v>906.6</v>
      </c>
      <c r="I827">
        <f>YEAR(tbl_dashboard_ejm[[#This Row],[Fecha]])</f>
        <v>2019</v>
      </c>
      <c r="J827" t="str">
        <f>TEXT(tbl_dashboard_ejm[[#This Row],[Fecha]],"MMMM")</f>
        <v>noviembre</v>
      </c>
      <c r="K827">
        <f>WEEKNUM(tbl_dashboard_ejm[[#This Row],[Fecha]],2)</f>
        <v>48</v>
      </c>
    </row>
    <row r="828" spans="2:11" x14ac:dyDescent="0.3">
      <c r="B828" s="67">
        <v>43799</v>
      </c>
      <c r="C828" t="s">
        <v>164</v>
      </c>
      <c r="D828" t="s">
        <v>165</v>
      </c>
      <c r="E828" t="s">
        <v>166</v>
      </c>
      <c r="F828" t="s">
        <v>163</v>
      </c>
      <c r="G828" s="82">
        <v>11007</v>
      </c>
      <c r="H828" s="82">
        <v>2751.75</v>
      </c>
      <c r="I828">
        <f>YEAR(tbl_dashboard_ejm[[#This Row],[Fecha]])</f>
        <v>2019</v>
      </c>
      <c r="J828" t="str">
        <f>TEXT(tbl_dashboard_ejm[[#This Row],[Fecha]],"MMMM")</f>
        <v>noviembre</v>
      </c>
      <c r="K828">
        <f>WEEKNUM(tbl_dashboard_ejm[[#This Row],[Fecha]],2)</f>
        <v>48</v>
      </c>
    </row>
    <row r="829" spans="2:11" x14ac:dyDescent="0.3">
      <c r="B829" s="67">
        <v>43799</v>
      </c>
      <c r="C829" t="s">
        <v>167</v>
      </c>
      <c r="D829" t="s">
        <v>161</v>
      </c>
      <c r="E829" t="s">
        <v>166</v>
      </c>
      <c r="F829" t="s">
        <v>163</v>
      </c>
      <c r="G829" s="82">
        <v>8249</v>
      </c>
      <c r="H829" s="82">
        <v>3299.6</v>
      </c>
      <c r="I829">
        <f>YEAR(tbl_dashboard_ejm[[#This Row],[Fecha]])</f>
        <v>2019</v>
      </c>
      <c r="J829" t="str">
        <f>TEXT(tbl_dashboard_ejm[[#This Row],[Fecha]],"MMMM")</f>
        <v>noviembre</v>
      </c>
      <c r="K829">
        <f>WEEKNUM(tbl_dashboard_ejm[[#This Row],[Fecha]],2)</f>
        <v>48</v>
      </c>
    </row>
    <row r="830" spans="2:11" x14ac:dyDescent="0.3">
      <c r="B830" s="67">
        <v>43799</v>
      </c>
      <c r="C830" t="s">
        <v>170</v>
      </c>
      <c r="D830" t="s">
        <v>165</v>
      </c>
      <c r="E830" t="s">
        <v>166</v>
      </c>
      <c r="F830" t="s">
        <v>169</v>
      </c>
      <c r="G830" s="82">
        <v>9144</v>
      </c>
      <c r="H830" s="82">
        <v>3291.84</v>
      </c>
      <c r="I830">
        <f>YEAR(tbl_dashboard_ejm[[#This Row],[Fecha]])</f>
        <v>2019</v>
      </c>
      <c r="J830" t="str">
        <f>TEXT(tbl_dashboard_ejm[[#This Row],[Fecha]],"MMMM")</f>
        <v>noviembre</v>
      </c>
      <c r="K830">
        <f>WEEKNUM(tbl_dashboard_ejm[[#This Row],[Fecha]],2)</f>
        <v>48</v>
      </c>
    </row>
    <row r="831" spans="2:11" x14ac:dyDescent="0.3">
      <c r="B831" s="67">
        <v>43795</v>
      </c>
      <c r="C831" t="s">
        <v>171</v>
      </c>
      <c r="D831" t="s">
        <v>165</v>
      </c>
      <c r="E831" t="s">
        <v>166</v>
      </c>
      <c r="F831" t="s">
        <v>163</v>
      </c>
      <c r="G831" s="82">
        <v>1411</v>
      </c>
      <c r="H831" s="82">
        <v>366.86</v>
      </c>
      <c r="I831">
        <f>YEAR(tbl_dashboard_ejm[[#This Row],[Fecha]])</f>
        <v>2019</v>
      </c>
      <c r="J831" t="str">
        <f>TEXT(tbl_dashboard_ejm[[#This Row],[Fecha]],"MMMM")</f>
        <v>noviembre</v>
      </c>
      <c r="K831">
        <f>WEEKNUM(tbl_dashboard_ejm[[#This Row],[Fecha]],2)</f>
        <v>48</v>
      </c>
    </row>
    <row r="832" spans="2:11" x14ac:dyDescent="0.3">
      <c r="B832" s="67">
        <v>43794</v>
      </c>
      <c r="C832" t="s">
        <v>172</v>
      </c>
      <c r="D832" t="s">
        <v>168</v>
      </c>
      <c r="E832" t="s">
        <v>162</v>
      </c>
      <c r="F832" t="s">
        <v>169</v>
      </c>
      <c r="G832" s="82">
        <v>5296</v>
      </c>
      <c r="H832" s="82">
        <v>1165.1199999999999</v>
      </c>
      <c r="I832">
        <f>YEAR(tbl_dashboard_ejm[[#This Row],[Fecha]])</f>
        <v>2019</v>
      </c>
      <c r="J832" t="str">
        <f>TEXT(tbl_dashboard_ejm[[#This Row],[Fecha]],"MMMM")</f>
        <v>noviembre</v>
      </c>
      <c r="K832">
        <f>WEEKNUM(tbl_dashboard_ejm[[#This Row],[Fecha]],2)</f>
        <v>48</v>
      </c>
    </row>
    <row r="833" spans="2:11" x14ac:dyDescent="0.3">
      <c r="B833" s="67">
        <v>43794</v>
      </c>
      <c r="C833" t="s">
        <v>173</v>
      </c>
      <c r="D833" t="s">
        <v>165</v>
      </c>
      <c r="E833" t="s">
        <v>166</v>
      </c>
      <c r="F833" t="s">
        <v>169</v>
      </c>
      <c r="G833" s="82">
        <v>10031</v>
      </c>
      <c r="H833" s="82">
        <v>2206.8200000000002</v>
      </c>
      <c r="I833">
        <f>YEAR(tbl_dashboard_ejm[[#This Row],[Fecha]])</f>
        <v>2019</v>
      </c>
      <c r="J833" t="str">
        <f>TEXT(tbl_dashboard_ejm[[#This Row],[Fecha]],"MMMM")</f>
        <v>noviembre</v>
      </c>
      <c r="K833">
        <f>WEEKNUM(tbl_dashboard_ejm[[#This Row],[Fecha]],2)</f>
        <v>48</v>
      </c>
    </row>
    <row r="834" spans="2:11" x14ac:dyDescent="0.3">
      <c r="B834" s="67">
        <v>43794</v>
      </c>
      <c r="C834" t="s">
        <v>174</v>
      </c>
      <c r="D834" t="s">
        <v>161</v>
      </c>
      <c r="E834" t="s">
        <v>166</v>
      </c>
      <c r="F834" t="s">
        <v>169</v>
      </c>
      <c r="G834" s="82">
        <v>11082</v>
      </c>
      <c r="H834" s="82">
        <v>4211.16</v>
      </c>
      <c r="I834">
        <f>YEAR(tbl_dashboard_ejm[[#This Row],[Fecha]])</f>
        <v>2019</v>
      </c>
      <c r="J834" t="str">
        <f>TEXT(tbl_dashboard_ejm[[#This Row],[Fecha]],"MMMM")</f>
        <v>noviembre</v>
      </c>
      <c r="K834">
        <f>WEEKNUM(tbl_dashboard_ejm[[#This Row],[Fecha]],2)</f>
        <v>48</v>
      </c>
    </row>
    <row r="835" spans="2:11" x14ac:dyDescent="0.3">
      <c r="B835" s="67">
        <v>43794</v>
      </c>
      <c r="C835" t="s">
        <v>175</v>
      </c>
      <c r="D835" t="s">
        <v>161</v>
      </c>
      <c r="E835" t="s">
        <v>162</v>
      </c>
      <c r="F835" t="s">
        <v>169</v>
      </c>
      <c r="G835" s="82">
        <v>7719</v>
      </c>
      <c r="H835" s="82">
        <v>2624.46</v>
      </c>
      <c r="I835">
        <f>YEAR(tbl_dashboard_ejm[[#This Row],[Fecha]])</f>
        <v>2019</v>
      </c>
      <c r="J835" t="str">
        <f>TEXT(tbl_dashboard_ejm[[#This Row],[Fecha]],"MMMM")</f>
        <v>noviembre</v>
      </c>
      <c r="K835">
        <f>WEEKNUM(tbl_dashboard_ejm[[#This Row],[Fecha]],2)</f>
        <v>48</v>
      </c>
    </row>
    <row r="836" spans="2:11" x14ac:dyDescent="0.3">
      <c r="B836" s="67">
        <v>43793</v>
      </c>
      <c r="C836" t="s">
        <v>176</v>
      </c>
      <c r="D836" t="s">
        <v>161</v>
      </c>
      <c r="E836" t="s">
        <v>162</v>
      </c>
      <c r="F836" t="s">
        <v>169</v>
      </c>
      <c r="G836" s="82">
        <v>7723</v>
      </c>
      <c r="H836" s="82">
        <v>2703.05</v>
      </c>
      <c r="I836">
        <f>YEAR(tbl_dashboard_ejm[[#This Row],[Fecha]])</f>
        <v>2019</v>
      </c>
      <c r="J836" t="str">
        <f>TEXT(tbl_dashboard_ejm[[#This Row],[Fecha]],"MMMM")</f>
        <v>noviembre</v>
      </c>
      <c r="K836">
        <f>WEEKNUM(tbl_dashboard_ejm[[#This Row],[Fecha]],2)</f>
        <v>47</v>
      </c>
    </row>
    <row r="837" spans="2:11" x14ac:dyDescent="0.3">
      <c r="B837" s="67">
        <v>43793</v>
      </c>
      <c r="C837" t="s">
        <v>177</v>
      </c>
      <c r="D837" t="s">
        <v>168</v>
      </c>
      <c r="E837" t="s">
        <v>166</v>
      </c>
      <c r="F837" t="s">
        <v>163</v>
      </c>
      <c r="G837" s="82">
        <v>11212</v>
      </c>
      <c r="H837" s="82">
        <v>3924.2</v>
      </c>
      <c r="I837">
        <f>YEAR(tbl_dashboard_ejm[[#This Row],[Fecha]])</f>
        <v>2019</v>
      </c>
      <c r="J837" t="str">
        <f>TEXT(tbl_dashboard_ejm[[#This Row],[Fecha]],"MMMM")</f>
        <v>noviembre</v>
      </c>
      <c r="K837">
        <f>WEEKNUM(tbl_dashboard_ejm[[#This Row],[Fecha]],2)</f>
        <v>47</v>
      </c>
    </row>
    <row r="838" spans="2:11" x14ac:dyDescent="0.3">
      <c r="B838" s="67">
        <v>43793</v>
      </c>
      <c r="C838" t="s">
        <v>178</v>
      </c>
      <c r="D838" t="s">
        <v>161</v>
      </c>
      <c r="E838" t="s">
        <v>162</v>
      </c>
      <c r="F838" t="s">
        <v>163</v>
      </c>
      <c r="G838" s="82">
        <v>9329</v>
      </c>
      <c r="H838" s="82">
        <v>2238.96</v>
      </c>
      <c r="I838">
        <f>YEAR(tbl_dashboard_ejm[[#This Row],[Fecha]])</f>
        <v>2019</v>
      </c>
      <c r="J838" t="str">
        <f>TEXT(tbl_dashboard_ejm[[#This Row],[Fecha]],"MMMM")</f>
        <v>noviembre</v>
      </c>
      <c r="K838">
        <f>WEEKNUM(tbl_dashboard_ejm[[#This Row],[Fecha]],2)</f>
        <v>47</v>
      </c>
    </row>
    <row r="839" spans="2:11" x14ac:dyDescent="0.3">
      <c r="B839" s="67">
        <v>43793</v>
      </c>
      <c r="C839" t="s">
        <v>179</v>
      </c>
      <c r="D839" t="s">
        <v>161</v>
      </c>
      <c r="E839" t="s">
        <v>162</v>
      </c>
      <c r="F839" t="s">
        <v>169</v>
      </c>
      <c r="G839" s="82">
        <v>11627</v>
      </c>
      <c r="H839" s="82">
        <v>3488.1</v>
      </c>
      <c r="I839">
        <f>YEAR(tbl_dashboard_ejm[[#This Row],[Fecha]])</f>
        <v>2019</v>
      </c>
      <c r="J839" t="str">
        <f>TEXT(tbl_dashboard_ejm[[#This Row],[Fecha]],"MMMM")</f>
        <v>noviembre</v>
      </c>
      <c r="K839">
        <f>WEEKNUM(tbl_dashboard_ejm[[#This Row],[Fecha]],2)</f>
        <v>47</v>
      </c>
    </row>
    <row r="840" spans="2:11" x14ac:dyDescent="0.3">
      <c r="B840" s="67">
        <v>43793</v>
      </c>
      <c r="C840" t="s">
        <v>180</v>
      </c>
      <c r="D840" t="s">
        <v>168</v>
      </c>
      <c r="E840" t="s">
        <v>166</v>
      </c>
      <c r="F840" t="s">
        <v>169</v>
      </c>
      <c r="G840" s="82">
        <v>5416</v>
      </c>
      <c r="H840" s="82">
        <v>2112.2399999999998</v>
      </c>
      <c r="I840">
        <f>YEAR(tbl_dashboard_ejm[[#This Row],[Fecha]])</f>
        <v>2019</v>
      </c>
      <c r="J840" t="str">
        <f>TEXT(tbl_dashboard_ejm[[#This Row],[Fecha]],"MMMM")</f>
        <v>noviembre</v>
      </c>
      <c r="K840">
        <f>WEEKNUM(tbl_dashboard_ejm[[#This Row],[Fecha]],2)</f>
        <v>47</v>
      </c>
    </row>
    <row r="841" spans="2:11" x14ac:dyDescent="0.3">
      <c r="B841" s="67">
        <v>43830</v>
      </c>
      <c r="C841" t="s">
        <v>160</v>
      </c>
      <c r="D841" t="s">
        <v>161</v>
      </c>
      <c r="E841" t="s">
        <v>162</v>
      </c>
      <c r="F841" t="s">
        <v>163</v>
      </c>
      <c r="G841" s="82">
        <v>9293</v>
      </c>
      <c r="H841" s="82">
        <v>1765.67</v>
      </c>
      <c r="I841">
        <f>YEAR(tbl_dashboard_ejm[[#This Row],[Fecha]])</f>
        <v>2019</v>
      </c>
      <c r="J841" t="str">
        <f>TEXT(tbl_dashboard_ejm[[#This Row],[Fecha]],"MMMM")</f>
        <v>diciembre</v>
      </c>
      <c r="K841">
        <f>WEEKNUM(tbl_dashboard_ejm[[#This Row],[Fecha]],2)</f>
        <v>53</v>
      </c>
    </row>
    <row r="842" spans="2:11" x14ac:dyDescent="0.3">
      <c r="B842" s="67">
        <v>43830</v>
      </c>
      <c r="C842" t="s">
        <v>164</v>
      </c>
      <c r="D842" t="s">
        <v>168</v>
      </c>
      <c r="E842" t="s">
        <v>162</v>
      </c>
      <c r="F842" t="s">
        <v>163</v>
      </c>
      <c r="G842" s="82">
        <v>8696</v>
      </c>
      <c r="H842" s="82">
        <v>3217.52</v>
      </c>
      <c r="I842">
        <f>YEAR(tbl_dashboard_ejm[[#This Row],[Fecha]])</f>
        <v>2019</v>
      </c>
      <c r="J842" t="str">
        <f>TEXT(tbl_dashboard_ejm[[#This Row],[Fecha]],"MMMM")</f>
        <v>diciembre</v>
      </c>
      <c r="K842">
        <f>WEEKNUM(tbl_dashboard_ejm[[#This Row],[Fecha]],2)</f>
        <v>53</v>
      </c>
    </row>
    <row r="843" spans="2:11" x14ac:dyDescent="0.3">
      <c r="B843" s="67">
        <v>43829</v>
      </c>
      <c r="C843" t="s">
        <v>167</v>
      </c>
      <c r="D843" t="s">
        <v>168</v>
      </c>
      <c r="E843" t="s">
        <v>162</v>
      </c>
      <c r="F843" t="s">
        <v>169</v>
      </c>
      <c r="G843" s="82">
        <v>9109</v>
      </c>
      <c r="H843" s="82">
        <v>2641.61</v>
      </c>
      <c r="I843">
        <f>YEAR(tbl_dashboard_ejm[[#This Row],[Fecha]])</f>
        <v>2019</v>
      </c>
      <c r="J843" t="str">
        <f>TEXT(tbl_dashboard_ejm[[#This Row],[Fecha]],"MMMM")</f>
        <v>diciembre</v>
      </c>
      <c r="K843">
        <f>WEEKNUM(tbl_dashboard_ejm[[#This Row],[Fecha]],2)</f>
        <v>53</v>
      </c>
    </row>
    <row r="844" spans="2:11" x14ac:dyDescent="0.3">
      <c r="B844" s="67">
        <v>43825</v>
      </c>
      <c r="C844" t="s">
        <v>170</v>
      </c>
      <c r="D844" t="s">
        <v>168</v>
      </c>
      <c r="E844" t="s">
        <v>162</v>
      </c>
      <c r="F844" t="s">
        <v>163</v>
      </c>
      <c r="G844" s="82">
        <v>1855</v>
      </c>
      <c r="H844" s="82">
        <v>816.2</v>
      </c>
      <c r="I844">
        <f>YEAR(tbl_dashboard_ejm[[#This Row],[Fecha]])</f>
        <v>2019</v>
      </c>
      <c r="J844" t="str">
        <f>TEXT(tbl_dashboard_ejm[[#This Row],[Fecha]],"MMMM")</f>
        <v>diciembre</v>
      </c>
      <c r="K844">
        <f>WEEKNUM(tbl_dashboard_ejm[[#This Row],[Fecha]],2)</f>
        <v>52</v>
      </c>
    </row>
    <row r="845" spans="2:11" x14ac:dyDescent="0.3">
      <c r="B845" s="67">
        <v>43824</v>
      </c>
      <c r="C845" t="s">
        <v>171</v>
      </c>
      <c r="D845" t="s">
        <v>168</v>
      </c>
      <c r="E845" t="s">
        <v>162</v>
      </c>
      <c r="F845" t="s">
        <v>169</v>
      </c>
      <c r="G845" s="82">
        <v>6901</v>
      </c>
      <c r="H845" s="82">
        <v>2967.43</v>
      </c>
      <c r="I845">
        <f>YEAR(tbl_dashboard_ejm[[#This Row],[Fecha]])</f>
        <v>2019</v>
      </c>
      <c r="J845" t="str">
        <f>TEXT(tbl_dashboard_ejm[[#This Row],[Fecha]],"MMMM")</f>
        <v>diciembre</v>
      </c>
      <c r="K845">
        <f>WEEKNUM(tbl_dashboard_ejm[[#This Row],[Fecha]],2)</f>
        <v>52</v>
      </c>
    </row>
    <row r="846" spans="2:11" x14ac:dyDescent="0.3">
      <c r="B846" s="67">
        <v>43824</v>
      </c>
      <c r="C846" t="s">
        <v>172</v>
      </c>
      <c r="D846" t="s">
        <v>165</v>
      </c>
      <c r="E846" t="s">
        <v>166</v>
      </c>
      <c r="F846" t="s">
        <v>169</v>
      </c>
      <c r="G846" s="82">
        <v>10816</v>
      </c>
      <c r="H846" s="82">
        <v>2163.1999999999998</v>
      </c>
      <c r="I846">
        <f>YEAR(tbl_dashboard_ejm[[#This Row],[Fecha]])</f>
        <v>2019</v>
      </c>
      <c r="J846" t="str">
        <f>TEXT(tbl_dashboard_ejm[[#This Row],[Fecha]],"MMMM")</f>
        <v>diciembre</v>
      </c>
      <c r="K846">
        <f>WEEKNUM(tbl_dashboard_ejm[[#This Row],[Fecha]],2)</f>
        <v>52</v>
      </c>
    </row>
    <row r="847" spans="2:11" x14ac:dyDescent="0.3">
      <c r="B847" s="67">
        <v>43824</v>
      </c>
      <c r="C847" t="s">
        <v>173</v>
      </c>
      <c r="D847" t="s">
        <v>168</v>
      </c>
      <c r="E847" t="s">
        <v>162</v>
      </c>
      <c r="F847" t="s">
        <v>169</v>
      </c>
      <c r="G847" s="82">
        <v>6317</v>
      </c>
      <c r="H847" s="82">
        <v>1579.25</v>
      </c>
      <c r="I847">
        <f>YEAR(tbl_dashboard_ejm[[#This Row],[Fecha]])</f>
        <v>2019</v>
      </c>
      <c r="J847" t="str">
        <f>TEXT(tbl_dashboard_ejm[[#This Row],[Fecha]],"MMMM")</f>
        <v>diciembre</v>
      </c>
      <c r="K847">
        <f>WEEKNUM(tbl_dashboard_ejm[[#This Row],[Fecha]],2)</f>
        <v>52</v>
      </c>
    </row>
    <row r="848" spans="2:11" x14ac:dyDescent="0.3">
      <c r="B848" s="67">
        <v>43824</v>
      </c>
      <c r="C848" t="s">
        <v>174</v>
      </c>
      <c r="D848" t="s">
        <v>161</v>
      </c>
      <c r="E848" t="s">
        <v>162</v>
      </c>
      <c r="F848" t="s">
        <v>169</v>
      </c>
      <c r="G848" s="82">
        <v>2934</v>
      </c>
      <c r="H848" s="82">
        <v>909.54</v>
      </c>
      <c r="I848">
        <f>YEAR(tbl_dashboard_ejm[[#This Row],[Fecha]])</f>
        <v>2019</v>
      </c>
      <c r="J848" t="str">
        <f>TEXT(tbl_dashboard_ejm[[#This Row],[Fecha]],"MMMM")</f>
        <v>diciembre</v>
      </c>
      <c r="K848">
        <f>WEEKNUM(tbl_dashboard_ejm[[#This Row],[Fecha]],2)</f>
        <v>52</v>
      </c>
    </row>
    <row r="849" spans="2:11" x14ac:dyDescent="0.3">
      <c r="B849" s="67">
        <v>43823</v>
      </c>
      <c r="C849" t="s">
        <v>175</v>
      </c>
      <c r="D849" t="s">
        <v>165</v>
      </c>
      <c r="E849" t="s">
        <v>162</v>
      </c>
      <c r="F849" t="s">
        <v>169</v>
      </c>
      <c r="G849" s="82">
        <v>1592</v>
      </c>
      <c r="H849" s="82">
        <v>270.64</v>
      </c>
      <c r="I849">
        <f>YEAR(tbl_dashboard_ejm[[#This Row],[Fecha]])</f>
        <v>2019</v>
      </c>
      <c r="J849" t="str">
        <f>TEXT(tbl_dashboard_ejm[[#This Row],[Fecha]],"MMMM")</f>
        <v>diciembre</v>
      </c>
      <c r="K849">
        <f>WEEKNUM(tbl_dashboard_ejm[[#This Row],[Fecha]],2)</f>
        <v>52</v>
      </c>
    </row>
    <row r="850" spans="2:11" x14ac:dyDescent="0.3">
      <c r="B850" s="67">
        <v>43829</v>
      </c>
      <c r="C850" t="s">
        <v>176</v>
      </c>
      <c r="D850" t="s">
        <v>168</v>
      </c>
      <c r="E850" t="s">
        <v>166</v>
      </c>
      <c r="F850" t="s">
        <v>163</v>
      </c>
      <c r="G850" s="82">
        <v>5363</v>
      </c>
      <c r="H850" s="82">
        <v>2413.35</v>
      </c>
      <c r="I850">
        <f>YEAR(tbl_dashboard_ejm[[#This Row],[Fecha]])</f>
        <v>2019</v>
      </c>
      <c r="J850" t="str">
        <f>TEXT(tbl_dashboard_ejm[[#This Row],[Fecha]],"MMMM")</f>
        <v>diciembre</v>
      </c>
      <c r="K850">
        <f>WEEKNUM(tbl_dashboard_ejm[[#This Row],[Fecha]],2)</f>
        <v>53</v>
      </c>
    </row>
    <row r="851" spans="2:11" x14ac:dyDescent="0.3">
      <c r="B851" s="67">
        <v>43829</v>
      </c>
      <c r="C851" t="s">
        <v>177</v>
      </c>
      <c r="D851" t="s">
        <v>165</v>
      </c>
      <c r="E851" t="s">
        <v>162</v>
      </c>
      <c r="F851" t="s">
        <v>163</v>
      </c>
      <c r="G851" s="82">
        <v>11622</v>
      </c>
      <c r="H851" s="82">
        <v>3719.04</v>
      </c>
      <c r="I851">
        <f>YEAR(tbl_dashboard_ejm[[#This Row],[Fecha]])</f>
        <v>2019</v>
      </c>
      <c r="J851" t="str">
        <f>TEXT(tbl_dashboard_ejm[[#This Row],[Fecha]],"MMMM")</f>
        <v>diciembre</v>
      </c>
      <c r="K851">
        <f>WEEKNUM(tbl_dashboard_ejm[[#This Row],[Fecha]],2)</f>
        <v>53</v>
      </c>
    </row>
    <row r="852" spans="2:11" x14ac:dyDescent="0.3">
      <c r="B852" s="67">
        <v>43829</v>
      </c>
      <c r="C852" t="s">
        <v>178</v>
      </c>
      <c r="D852" t="s">
        <v>165</v>
      </c>
      <c r="E852" t="s">
        <v>166</v>
      </c>
      <c r="F852" t="s">
        <v>169</v>
      </c>
      <c r="G852" s="82">
        <v>11394</v>
      </c>
      <c r="H852" s="82">
        <v>1936.98</v>
      </c>
      <c r="I852">
        <f>YEAR(tbl_dashboard_ejm[[#This Row],[Fecha]])</f>
        <v>2019</v>
      </c>
      <c r="J852" t="str">
        <f>TEXT(tbl_dashboard_ejm[[#This Row],[Fecha]],"MMMM")</f>
        <v>diciembre</v>
      </c>
      <c r="K852">
        <f>WEEKNUM(tbl_dashboard_ejm[[#This Row],[Fecha]],2)</f>
        <v>53</v>
      </c>
    </row>
    <row r="853" spans="2:11" x14ac:dyDescent="0.3">
      <c r="B853" s="67">
        <v>43829</v>
      </c>
      <c r="C853" t="s">
        <v>179</v>
      </c>
      <c r="D853" t="s">
        <v>165</v>
      </c>
      <c r="E853" t="s">
        <v>166</v>
      </c>
      <c r="F853" t="s">
        <v>169</v>
      </c>
      <c r="G853" s="82">
        <v>6126</v>
      </c>
      <c r="H853" s="82">
        <v>1041.42</v>
      </c>
      <c r="I853">
        <f>YEAR(tbl_dashboard_ejm[[#This Row],[Fecha]])</f>
        <v>2019</v>
      </c>
      <c r="J853" t="str">
        <f>TEXT(tbl_dashboard_ejm[[#This Row],[Fecha]],"MMMM")</f>
        <v>diciembre</v>
      </c>
      <c r="K853">
        <f>WEEKNUM(tbl_dashboard_ejm[[#This Row],[Fecha]],2)</f>
        <v>53</v>
      </c>
    </row>
    <row r="854" spans="2:11" x14ac:dyDescent="0.3">
      <c r="B854" s="67">
        <v>43829</v>
      </c>
      <c r="C854" t="s">
        <v>180</v>
      </c>
      <c r="D854" t="s">
        <v>161</v>
      </c>
      <c r="E854" t="s">
        <v>162</v>
      </c>
      <c r="F854" t="s">
        <v>163</v>
      </c>
      <c r="G854" s="82">
        <v>4058</v>
      </c>
      <c r="H854" s="82">
        <v>771.02</v>
      </c>
      <c r="I854">
        <f>YEAR(tbl_dashboard_ejm[[#This Row],[Fecha]])</f>
        <v>2019</v>
      </c>
      <c r="J854" t="str">
        <f>TEXT(tbl_dashboard_ejm[[#This Row],[Fecha]],"MMMM")</f>
        <v>diciembre</v>
      </c>
      <c r="K854">
        <f>WEEKNUM(tbl_dashboard_ejm[[#This Row],[Fecha]],2)</f>
        <v>53</v>
      </c>
    </row>
    <row r="855" spans="2:11" x14ac:dyDescent="0.3">
      <c r="B855" s="67">
        <v>43829</v>
      </c>
      <c r="C855" t="s">
        <v>181</v>
      </c>
      <c r="D855" t="s">
        <v>168</v>
      </c>
      <c r="E855" t="s">
        <v>166</v>
      </c>
      <c r="F855" t="s">
        <v>163</v>
      </c>
      <c r="G855" s="82">
        <v>6605</v>
      </c>
      <c r="H855" s="82">
        <v>1321</v>
      </c>
      <c r="I855">
        <f>YEAR(tbl_dashboard_ejm[[#This Row],[Fecha]])</f>
        <v>2019</v>
      </c>
      <c r="J855" t="str">
        <f>TEXT(tbl_dashboard_ejm[[#This Row],[Fecha]],"MMMM")</f>
        <v>diciembre</v>
      </c>
      <c r="K855">
        <f>WEEKNUM(tbl_dashboard_ejm[[#This Row],[Fecha]],2)</f>
        <v>53</v>
      </c>
    </row>
    <row r="856" spans="2:11" x14ac:dyDescent="0.3">
      <c r="B856" s="67">
        <v>43829</v>
      </c>
      <c r="C856" t="s">
        <v>182</v>
      </c>
      <c r="D856" t="s">
        <v>168</v>
      </c>
      <c r="E856" t="s">
        <v>166</v>
      </c>
      <c r="F856" t="s">
        <v>169</v>
      </c>
      <c r="G856" s="82">
        <v>11096</v>
      </c>
      <c r="H856" s="82">
        <v>3217.84</v>
      </c>
      <c r="I856">
        <f>YEAR(tbl_dashboard_ejm[[#This Row],[Fecha]])</f>
        <v>2019</v>
      </c>
      <c r="J856" t="str">
        <f>TEXT(tbl_dashboard_ejm[[#This Row],[Fecha]],"MMMM")</f>
        <v>diciembre</v>
      </c>
      <c r="K856">
        <f>WEEKNUM(tbl_dashboard_ejm[[#This Row],[Fecha]],2)</f>
        <v>53</v>
      </c>
    </row>
    <row r="857" spans="2:11" x14ac:dyDescent="0.3">
      <c r="B857" s="67">
        <v>43825</v>
      </c>
      <c r="C857" t="s">
        <v>183</v>
      </c>
      <c r="D857" t="s">
        <v>168</v>
      </c>
      <c r="E857" t="s">
        <v>162</v>
      </c>
      <c r="F857" t="s">
        <v>163</v>
      </c>
      <c r="G857" s="82">
        <v>7492</v>
      </c>
      <c r="H857" s="82">
        <v>2772.04</v>
      </c>
      <c r="I857">
        <f>YEAR(tbl_dashboard_ejm[[#This Row],[Fecha]])</f>
        <v>2019</v>
      </c>
      <c r="J857" t="str">
        <f>TEXT(tbl_dashboard_ejm[[#This Row],[Fecha]],"MMMM")</f>
        <v>diciembre</v>
      </c>
      <c r="K857">
        <f>WEEKNUM(tbl_dashboard_ejm[[#This Row],[Fecha]],2)</f>
        <v>52</v>
      </c>
    </row>
    <row r="858" spans="2:11" x14ac:dyDescent="0.3">
      <c r="B858" s="67">
        <v>43824</v>
      </c>
      <c r="C858" t="s">
        <v>184</v>
      </c>
      <c r="D858" t="s">
        <v>165</v>
      </c>
      <c r="E858" t="s">
        <v>162</v>
      </c>
      <c r="F858" t="s">
        <v>169</v>
      </c>
      <c r="G858" s="82">
        <v>9415</v>
      </c>
      <c r="H858" s="82">
        <v>3389.4</v>
      </c>
      <c r="I858">
        <f>YEAR(tbl_dashboard_ejm[[#This Row],[Fecha]])</f>
        <v>2019</v>
      </c>
      <c r="J858" t="str">
        <f>TEXT(tbl_dashboard_ejm[[#This Row],[Fecha]],"MMMM")</f>
        <v>diciembre</v>
      </c>
      <c r="K858">
        <f>WEEKNUM(tbl_dashboard_ejm[[#This Row],[Fecha]],2)</f>
        <v>52</v>
      </c>
    </row>
    <row r="859" spans="2:11" x14ac:dyDescent="0.3">
      <c r="B859" s="67">
        <v>43824</v>
      </c>
      <c r="C859" t="s">
        <v>185</v>
      </c>
      <c r="D859" t="s">
        <v>168</v>
      </c>
      <c r="E859" t="s">
        <v>166</v>
      </c>
      <c r="F859" t="s">
        <v>169</v>
      </c>
      <c r="G859" s="82">
        <v>11643</v>
      </c>
      <c r="H859" s="82">
        <v>4657.2</v>
      </c>
      <c r="I859">
        <f>YEAR(tbl_dashboard_ejm[[#This Row],[Fecha]])</f>
        <v>2019</v>
      </c>
      <c r="J859" t="str">
        <f>TEXT(tbl_dashboard_ejm[[#This Row],[Fecha]],"MMMM")</f>
        <v>diciembre</v>
      </c>
      <c r="K859">
        <f>WEEKNUM(tbl_dashboard_ejm[[#This Row],[Fecha]],2)</f>
        <v>52</v>
      </c>
    </row>
    <row r="860" spans="2:11" x14ac:dyDescent="0.3">
      <c r="B860" s="67">
        <v>43824</v>
      </c>
      <c r="C860" t="s">
        <v>186</v>
      </c>
      <c r="D860" t="s">
        <v>161</v>
      </c>
      <c r="E860" t="s">
        <v>162</v>
      </c>
      <c r="F860" t="s">
        <v>169</v>
      </c>
      <c r="G860" s="82">
        <v>1068</v>
      </c>
      <c r="H860" s="82">
        <v>480.6</v>
      </c>
      <c r="I860">
        <f>YEAR(tbl_dashboard_ejm[[#This Row],[Fecha]])</f>
        <v>2019</v>
      </c>
      <c r="J860" t="str">
        <f>TEXT(tbl_dashboard_ejm[[#This Row],[Fecha]],"MMMM")</f>
        <v>diciembre</v>
      </c>
      <c r="K860">
        <f>WEEKNUM(tbl_dashboard_ejm[[#This Row],[Fecha]],2)</f>
        <v>52</v>
      </c>
    </row>
    <row r="861" spans="2:11" x14ac:dyDescent="0.3">
      <c r="B861" s="67">
        <v>43824</v>
      </c>
      <c r="C861" t="s">
        <v>187</v>
      </c>
      <c r="D861" t="s">
        <v>165</v>
      </c>
      <c r="E861" t="s">
        <v>162</v>
      </c>
      <c r="F861" t="s">
        <v>169</v>
      </c>
      <c r="G861" s="82">
        <v>9700</v>
      </c>
      <c r="H861" s="82">
        <v>3783</v>
      </c>
      <c r="I861">
        <f>YEAR(tbl_dashboard_ejm[[#This Row],[Fecha]])</f>
        <v>2019</v>
      </c>
      <c r="J861" t="str">
        <f>TEXT(tbl_dashboard_ejm[[#This Row],[Fecha]],"MMMM")</f>
        <v>diciembre</v>
      </c>
      <c r="K861">
        <f>WEEKNUM(tbl_dashboard_ejm[[#This Row],[Fecha]],2)</f>
        <v>52</v>
      </c>
    </row>
    <row r="862" spans="2:11" x14ac:dyDescent="0.3">
      <c r="B862" s="67">
        <v>43824</v>
      </c>
      <c r="C862" t="s">
        <v>188</v>
      </c>
      <c r="D862" t="s">
        <v>161</v>
      </c>
      <c r="E862" t="s">
        <v>162</v>
      </c>
      <c r="F862" t="s">
        <v>169</v>
      </c>
      <c r="G862" s="82">
        <v>7292</v>
      </c>
      <c r="H862" s="82">
        <v>1312.56</v>
      </c>
      <c r="I862">
        <f>YEAR(tbl_dashboard_ejm[[#This Row],[Fecha]])</f>
        <v>2019</v>
      </c>
      <c r="J862" t="str">
        <f>TEXT(tbl_dashboard_ejm[[#This Row],[Fecha]],"MMMM")</f>
        <v>diciembre</v>
      </c>
      <c r="K862">
        <f>WEEKNUM(tbl_dashboard_ejm[[#This Row],[Fecha]],2)</f>
        <v>52</v>
      </c>
    </row>
    <row r="863" spans="2:11" x14ac:dyDescent="0.3">
      <c r="B863" s="67">
        <v>43825</v>
      </c>
      <c r="C863" t="s">
        <v>170</v>
      </c>
      <c r="D863" t="s">
        <v>168</v>
      </c>
      <c r="E863" t="s">
        <v>162</v>
      </c>
      <c r="F863" t="s">
        <v>163</v>
      </c>
      <c r="G863" s="82">
        <v>1855</v>
      </c>
      <c r="H863" s="82">
        <v>816.2</v>
      </c>
      <c r="I863">
        <f>YEAR(tbl_dashboard_ejm[[#This Row],[Fecha]])</f>
        <v>2019</v>
      </c>
      <c r="J863" t="str">
        <f>TEXT(tbl_dashboard_ejm[[#This Row],[Fecha]],"MMMM")</f>
        <v>diciembre</v>
      </c>
      <c r="K863">
        <f>WEEKNUM(tbl_dashboard_ejm[[#This Row],[Fecha]],2)</f>
        <v>52</v>
      </c>
    </row>
    <row r="864" spans="2:11" x14ac:dyDescent="0.3">
      <c r="B864" s="67">
        <v>43824</v>
      </c>
      <c r="C864" t="s">
        <v>171</v>
      </c>
      <c r="D864" t="s">
        <v>168</v>
      </c>
      <c r="E864" t="s">
        <v>162</v>
      </c>
      <c r="F864" t="s">
        <v>169</v>
      </c>
      <c r="G864" s="82">
        <v>6901</v>
      </c>
      <c r="H864" s="82">
        <v>2967.43</v>
      </c>
      <c r="I864">
        <f>YEAR(tbl_dashboard_ejm[[#This Row],[Fecha]])</f>
        <v>2019</v>
      </c>
      <c r="J864" t="str">
        <f>TEXT(tbl_dashboard_ejm[[#This Row],[Fecha]],"MMMM")</f>
        <v>diciembre</v>
      </c>
      <c r="K864">
        <f>WEEKNUM(tbl_dashboard_ejm[[#This Row],[Fecha]],2)</f>
        <v>52</v>
      </c>
    </row>
    <row r="865" spans="2:11" x14ac:dyDescent="0.3">
      <c r="B865" s="67">
        <v>43824</v>
      </c>
      <c r="C865" t="s">
        <v>172</v>
      </c>
      <c r="D865" t="s">
        <v>165</v>
      </c>
      <c r="E865" t="s">
        <v>166</v>
      </c>
      <c r="F865" t="s">
        <v>169</v>
      </c>
      <c r="G865" s="82">
        <v>10816</v>
      </c>
      <c r="H865" s="82">
        <v>2163.1999999999998</v>
      </c>
      <c r="I865">
        <f>YEAR(tbl_dashboard_ejm[[#This Row],[Fecha]])</f>
        <v>2019</v>
      </c>
      <c r="J865" t="str">
        <f>TEXT(tbl_dashboard_ejm[[#This Row],[Fecha]],"MMMM")</f>
        <v>diciembre</v>
      </c>
      <c r="K865">
        <f>WEEKNUM(tbl_dashboard_ejm[[#This Row],[Fecha]],2)</f>
        <v>52</v>
      </c>
    </row>
    <row r="866" spans="2:11" x14ac:dyDescent="0.3">
      <c r="B866" s="67">
        <v>43824</v>
      </c>
      <c r="C866" t="s">
        <v>173</v>
      </c>
      <c r="D866" t="s">
        <v>168</v>
      </c>
      <c r="E866" t="s">
        <v>162</v>
      </c>
      <c r="F866" t="s">
        <v>169</v>
      </c>
      <c r="G866" s="82">
        <v>6317</v>
      </c>
      <c r="H866" s="82">
        <v>1579.25</v>
      </c>
      <c r="I866">
        <f>YEAR(tbl_dashboard_ejm[[#This Row],[Fecha]])</f>
        <v>2019</v>
      </c>
      <c r="J866" t="str">
        <f>TEXT(tbl_dashboard_ejm[[#This Row],[Fecha]],"MMMM")</f>
        <v>diciembre</v>
      </c>
      <c r="K866">
        <f>WEEKNUM(tbl_dashboard_ejm[[#This Row],[Fecha]],2)</f>
        <v>52</v>
      </c>
    </row>
    <row r="867" spans="2:11" x14ac:dyDescent="0.3">
      <c r="B867" s="67">
        <v>43824</v>
      </c>
      <c r="C867" t="s">
        <v>174</v>
      </c>
      <c r="D867" t="s">
        <v>161</v>
      </c>
      <c r="E867" t="s">
        <v>162</v>
      </c>
      <c r="F867" t="s">
        <v>169</v>
      </c>
      <c r="G867" s="82">
        <v>2934</v>
      </c>
      <c r="H867" s="82">
        <v>909.54</v>
      </c>
      <c r="I867">
        <f>YEAR(tbl_dashboard_ejm[[#This Row],[Fecha]])</f>
        <v>2019</v>
      </c>
      <c r="J867" t="str">
        <f>TEXT(tbl_dashboard_ejm[[#This Row],[Fecha]],"MMMM")</f>
        <v>diciembre</v>
      </c>
      <c r="K867">
        <f>WEEKNUM(tbl_dashboard_ejm[[#This Row],[Fecha]],2)</f>
        <v>52</v>
      </c>
    </row>
    <row r="868" spans="2:11" x14ac:dyDescent="0.3">
      <c r="B868" s="67">
        <v>43823</v>
      </c>
      <c r="C868" t="s">
        <v>175</v>
      </c>
      <c r="D868" t="s">
        <v>165</v>
      </c>
      <c r="E868" t="s">
        <v>162</v>
      </c>
      <c r="F868" t="s">
        <v>169</v>
      </c>
      <c r="G868" s="82">
        <v>1592</v>
      </c>
      <c r="H868" s="82">
        <v>270.64</v>
      </c>
      <c r="I868">
        <f>YEAR(tbl_dashboard_ejm[[#This Row],[Fecha]])</f>
        <v>2019</v>
      </c>
      <c r="J868" t="str">
        <f>TEXT(tbl_dashboard_ejm[[#This Row],[Fecha]],"MMMM")</f>
        <v>diciembre</v>
      </c>
      <c r="K868">
        <f>WEEKNUM(tbl_dashboard_ejm[[#This Row],[Fecha]],2)</f>
        <v>52</v>
      </c>
    </row>
    <row r="869" spans="2:11" x14ac:dyDescent="0.3">
      <c r="B869" s="67">
        <v>43829</v>
      </c>
      <c r="C869" t="s">
        <v>176</v>
      </c>
      <c r="D869" t="s">
        <v>168</v>
      </c>
      <c r="E869" t="s">
        <v>166</v>
      </c>
      <c r="F869" t="s">
        <v>163</v>
      </c>
      <c r="G869" s="82">
        <v>5363</v>
      </c>
      <c r="H869" s="82">
        <v>2413.35</v>
      </c>
      <c r="I869">
        <f>YEAR(tbl_dashboard_ejm[[#This Row],[Fecha]])</f>
        <v>2019</v>
      </c>
      <c r="J869" t="str">
        <f>TEXT(tbl_dashboard_ejm[[#This Row],[Fecha]],"MMMM")</f>
        <v>diciembre</v>
      </c>
      <c r="K869">
        <f>WEEKNUM(tbl_dashboard_ejm[[#This Row],[Fecha]],2)</f>
        <v>53</v>
      </c>
    </row>
    <row r="870" spans="2:11" x14ac:dyDescent="0.3">
      <c r="B870" s="67">
        <v>43829</v>
      </c>
      <c r="C870" t="s">
        <v>177</v>
      </c>
      <c r="D870" t="s">
        <v>165</v>
      </c>
      <c r="E870" t="s">
        <v>162</v>
      </c>
      <c r="F870" t="s">
        <v>163</v>
      </c>
      <c r="G870" s="82">
        <v>11622</v>
      </c>
      <c r="H870" s="82">
        <v>3719.04</v>
      </c>
      <c r="I870">
        <f>YEAR(tbl_dashboard_ejm[[#This Row],[Fecha]])</f>
        <v>2019</v>
      </c>
      <c r="J870" t="str">
        <f>TEXT(tbl_dashboard_ejm[[#This Row],[Fecha]],"MMMM")</f>
        <v>diciembre</v>
      </c>
      <c r="K870">
        <f>WEEKNUM(tbl_dashboard_ejm[[#This Row],[Fecha]],2)</f>
        <v>53</v>
      </c>
    </row>
    <row r="871" spans="2:11" x14ac:dyDescent="0.3">
      <c r="B871" s="67">
        <v>43829</v>
      </c>
      <c r="C871" t="s">
        <v>178</v>
      </c>
      <c r="D871" t="s">
        <v>165</v>
      </c>
      <c r="E871" t="s">
        <v>166</v>
      </c>
      <c r="F871" t="s">
        <v>169</v>
      </c>
      <c r="G871" s="82">
        <v>11394</v>
      </c>
      <c r="H871" s="82">
        <v>1936.98</v>
      </c>
      <c r="I871">
        <f>YEAR(tbl_dashboard_ejm[[#This Row],[Fecha]])</f>
        <v>2019</v>
      </c>
      <c r="J871" t="str">
        <f>TEXT(tbl_dashboard_ejm[[#This Row],[Fecha]],"MMMM")</f>
        <v>diciembre</v>
      </c>
      <c r="K871">
        <f>WEEKNUM(tbl_dashboard_ejm[[#This Row],[Fecha]],2)</f>
        <v>53</v>
      </c>
    </row>
    <row r="872" spans="2:11" x14ac:dyDescent="0.3">
      <c r="B872" s="67">
        <v>43829</v>
      </c>
      <c r="C872" t="s">
        <v>179</v>
      </c>
      <c r="D872" t="s">
        <v>165</v>
      </c>
      <c r="E872" t="s">
        <v>166</v>
      </c>
      <c r="F872" t="s">
        <v>169</v>
      </c>
      <c r="G872" s="82">
        <v>6126</v>
      </c>
      <c r="H872" s="82">
        <v>1041.42</v>
      </c>
      <c r="I872">
        <f>YEAR(tbl_dashboard_ejm[[#This Row],[Fecha]])</f>
        <v>2019</v>
      </c>
      <c r="J872" t="str">
        <f>TEXT(tbl_dashboard_ejm[[#This Row],[Fecha]],"MMMM")</f>
        <v>diciembre</v>
      </c>
      <c r="K872">
        <f>WEEKNUM(tbl_dashboard_ejm[[#This Row],[Fecha]],2)</f>
        <v>53</v>
      </c>
    </row>
    <row r="873" spans="2:11" x14ac:dyDescent="0.3">
      <c r="B873" s="67">
        <v>43829</v>
      </c>
      <c r="C873" t="s">
        <v>180</v>
      </c>
      <c r="D873" t="s">
        <v>161</v>
      </c>
      <c r="E873" t="s">
        <v>162</v>
      </c>
      <c r="F873" t="s">
        <v>163</v>
      </c>
      <c r="G873" s="82">
        <v>4058</v>
      </c>
      <c r="H873" s="82">
        <v>771.02</v>
      </c>
      <c r="I873">
        <f>YEAR(tbl_dashboard_ejm[[#This Row],[Fecha]])</f>
        <v>2019</v>
      </c>
      <c r="J873" t="str">
        <f>TEXT(tbl_dashboard_ejm[[#This Row],[Fecha]],"MMMM")</f>
        <v>diciembre</v>
      </c>
      <c r="K873">
        <f>WEEKNUM(tbl_dashboard_ejm[[#This Row],[Fecha]],2)</f>
        <v>53</v>
      </c>
    </row>
    <row r="874" spans="2:11" x14ac:dyDescent="0.3">
      <c r="B874" s="67">
        <v>43829</v>
      </c>
      <c r="C874" t="s">
        <v>181</v>
      </c>
      <c r="D874" t="s">
        <v>168</v>
      </c>
      <c r="E874" t="s">
        <v>166</v>
      </c>
      <c r="F874" t="s">
        <v>163</v>
      </c>
      <c r="G874" s="82">
        <v>6605</v>
      </c>
      <c r="H874" s="82">
        <v>1321</v>
      </c>
      <c r="I874">
        <f>YEAR(tbl_dashboard_ejm[[#This Row],[Fecha]])</f>
        <v>2019</v>
      </c>
      <c r="J874" t="str">
        <f>TEXT(tbl_dashboard_ejm[[#This Row],[Fecha]],"MMMM")</f>
        <v>diciembre</v>
      </c>
      <c r="K874">
        <f>WEEKNUM(tbl_dashboard_ejm[[#This Row],[Fecha]],2)</f>
        <v>53</v>
      </c>
    </row>
    <row r="875" spans="2:11" x14ac:dyDescent="0.3">
      <c r="B875" s="67">
        <v>43829</v>
      </c>
      <c r="C875" t="s">
        <v>182</v>
      </c>
      <c r="D875" t="s">
        <v>168</v>
      </c>
      <c r="E875" t="s">
        <v>166</v>
      </c>
      <c r="F875" t="s">
        <v>169</v>
      </c>
      <c r="G875" s="82">
        <v>11096</v>
      </c>
      <c r="H875" s="82">
        <v>3217.84</v>
      </c>
      <c r="I875">
        <f>YEAR(tbl_dashboard_ejm[[#This Row],[Fecha]])</f>
        <v>2019</v>
      </c>
      <c r="J875" t="str">
        <f>TEXT(tbl_dashboard_ejm[[#This Row],[Fecha]],"MMMM")</f>
        <v>diciembre</v>
      </c>
      <c r="K875">
        <f>WEEKNUM(tbl_dashboard_ejm[[#This Row],[Fecha]],2)</f>
        <v>53</v>
      </c>
    </row>
    <row r="876" spans="2:11" x14ac:dyDescent="0.3">
      <c r="B876" s="67">
        <v>43825</v>
      </c>
      <c r="C876" t="s">
        <v>183</v>
      </c>
      <c r="D876" t="s">
        <v>168</v>
      </c>
      <c r="E876" t="s">
        <v>162</v>
      </c>
      <c r="F876" t="s">
        <v>163</v>
      </c>
      <c r="G876" s="82">
        <v>7492</v>
      </c>
      <c r="H876" s="82">
        <v>2772.04</v>
      </c>
      <c r="I876">
        <f>YEAR(tbl_dashboard_ejm[[#This Row],[Fecha]])</f>
        <v>2019</v>
      </c>
      <c r="J876" t="str">
        <f>TEXT(tbl_dashboard_ejm[[#This Row],[Fecha]],"MMMM")</f>
        <v>diciembre</v>
      </c>
      <c r="K876">
        <f>WEEKNUM(tbl_dashboard_ejm[[#This Row],[Fecha]],2)</f>
        <v>52</v>
      </c>
    </row>
    <row r="877" spans="2:11" x14ac:dyDescent="0.3">
      <c r="B877" s="67">
        <v>43824</v>
      </c>
      <c r="C877" t="s">
        <v>184</v>
      </c>
      <c r="D877" t="s">
        <v>165</v>
      </c>
      <c r="E877" t="s">
        <v>162</v>
      </c>
      <c r="F877" t="s">
        <v>169</v>
      </c>
      <c r="G877" s="82">
        <v>9415</v>
      </c>
      <c r="H877" s="82">
        <v>3389.4</v>
      </c>
      <c r="I877">
        <f>YEAR(tbl_dashboard_ejm[[#This Row],[Fecha]])</f>
        <v>2019</v>
      </c>
      <c r="J877" t="str">
        <f>TEXT(tbl_dashboard_ejm[[#This Row],[Fecha]],"MMMM")</f>
        <v>diciembre</v>
      </c>
      <c r="K877">
        <f>WEEKNUM(tbl_dashboard_ejm[[#This Row],[Fecha]],2)</f>
        <v>52</v>
      </c>
    </row>
    <row r="878" spans="2:11" x14ac:dyDescent="0.3">
      <c r="B878" s="67">
        <v>43824</v>
      </c>
      <c r="C878" t="s">
        <v>185</v>
      </c>
      <c r="D878" t="s">
        <v>168</v>
      </c>
      <c r="E878" t="s">
        <v>166</v>
      </c>
      <c r="F878" t="s">
        <v>169</v>
      </c>
      <c r="G878" s="82">
        <v>11643</v>
      </c>
      <c r="H878" s="82">
        <v>4657.2</v>
      </c>
      <c r="I878">
        <f>YEAR(tbl_dashboard_ejm[[#This Row],[Fecha]])</f>
        <v>2019</v>
      </c>
      <c r="J878" t="str">
        <f>TEXT(tbl_dashboard_ejm[[#This Row],[Fecha]],"MMMM")</f>
        <v>diciembre</v>
      </c>
      <c r="K878">
        <f>WEEKNUM(tbl_dashboard_ejm[[#This Row],[Fecha]],2)</f>
        <v>52</v>
      </c>
    </row>
    <row r="879" spans="2:11" x14ac:dyDescent="0.3">
      <c r="B879" s="67">
        <v>43824</v>
      </c>
      <c r="C879" t="s">
        <v>186</v>
      </c>
      <c r="D879" t="s">
        <v>161</v>
      </c>
      <c r="E879" t="s">
        <v>162</v>
      </c>
      <c r="F879" t="s">
        <v>169</v>
      </c>
      <c r="G879" s="82">
        <v>1068</v>
      </c>
      <c r="H879" s="82">
        <v>480.6</v>
      </c>
      <c r="I879">
        <f>YEAR(tbl_dashboard_ejm[[#This Row],[Fecha]])</f>
        <v>2019</v>
      </c>
      <c r="J879" t="str">
        <f>TEXT(tbl_dashboard_ejm[[#This Row],[Fecha]],"MMMM")</f>
        <v>diciembre</v>
      </c>
      <c r="K879">
        <f>WEEKNUM(tbl_dashboard_ejm[[#This Row],[Fecha]],2)</f>
        <v>52</v>
      </c>
    </row>
    <row r="880" spans="2:11" x14ac:dyDescent="0.3">
      <c r="B880" s="67">
        <v>43824</v>
      </c>
      <c r="C880" t="s">
        <v>187</v>
      </c>
      <c r="D880" t="s">
        <v>165</v>
      </c>
      <c r="E880" t="s">
        <v>162</v>
      </c>
      <c r="F880" t="s">
        <v>169</v>
      </c>
      <c r="G880" s="82">
        <v>9700</v>
      </c>
      <c r="H880" s="82">
        <v>3783</v>
      </c>
      <c r="I880">
        <f>YEAR(tbl_dashboard_ejm[[#This Row],[Fecha]])</f>
        <v>2019</v>
      </c>
      <c r="J880" t="str">
        <f>TEXT(tbl_dashboard_ejm[[#This Row],[Fecha]],"MMMM")</f>
        <v>diciembre</v>
      </c>
      <c r="K880">
        <f>WEEKNUM(tbl_dashboard_ejm[[#This Row],[Fecha]],2)</f>
        <v>52</v>
      </c>
    </row>
    <row r="881" spans="2:11" x14ac:dyDescent="0.3">
      <c r="B881" s="67">
        <v>43824</v>
      </c>
      <c r="C881" t="s">
        <v>188</v>
      </c>
      <c r="D881" t="s">
        <v>161</v>
      </c>
      <c r="E881" t="s">
        <v>162</v>
      </c>
      <c r="F881" t="s">
        <v>169</v>
      </c>
      <c r="G881" s="82">
        <v>7292</v>
      </c>
      <c r="H881" s="82">
        <v>1312.56</v>
      </c>
      <c r="I881">
        <f>YEAR(tbl_dashboard_ejm[[#This Row],[Fecha]])</f>
        <v>2019</v>
      </c>
      <c r="J881" t="str">
        <f>TEXT(tbl_dashboard_ejm[[#This Row],[Fecha]],"MMMM")</f>
        <v>diciembre</v>
      </c>
      <c r="K881">
        <f>WEEKNUM(tbl_dashboard_ejm[[#This Row],[Fecha]],2)</f>
        <v>52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8D7B3-9C9F-40A8-AC67-5F9250651589}">
  <sheetPr codeName="Hoja5"/>
  <dimension ref="B2:Y881"/>
  <sheetViews>
    <sheetView showGridLines="0" topLeftCell="P12" zoomScale="80" zoomScaleNormal="80" workbookViewId="0">
      <selection activeCell="R49" sqref="R49"/>
    </sheetView>
  </sheetViews>
  <sheetFormatPr baseColWidth="10" defaultColWidth="11.44140625" defaultRowHeight="10.199999999999999" x14ac:dyDescent="0.2"/>
  <cols>
    <col min="1" max="1" width="4.44140625" style="43" customWidth="1"/>
    <col min="2" max="3" width="11.44140625" style="43"/>
    <col min="4" max="4" width="18" style="43" customWidth="1"/>
    <col min="5" max="5" width="13.88671875" style="43" customWidth="1"/>
    <col min="6" max="7" width="11.44140625" style="43"/>
    <col min="8" max="8" width="11.5546875" style="43" customWidth="1"/>
    <col min="9" max="9" width="6.88671875" style="43" bestFit="1" customWidth="1"/>
    <col min="10" max="10" width="8.44140625" style="43" bestFit="1" customWidth="1"/>
    <col min="11" max="11" width="14.5546875" style="43" bestFit="1" customWidth="1"/>
    <col min="12" max="12" width="11.44140625" style="43"/>
    <col min="13" max="13" width="18" style="43" bestFit="1" customWidth="1"/>
    <col min="14" max="14" width="15.109375" style="43" bestFit="1" customWidth="1"/>
    <col min="15" max="15" width="17.44140625" style="43" bestFit="1" customWidth="1"/>
    <col min="16" max="16384" width="11.44140625" style="43"/>
  </cols>
  <sheetData>
    <row r="2" spans="2:16" x14ac:dyDescent="0.2">
      <c r="B2" s="76" t="s">
        <v>218</v>
      </c>
    </row>
    <row r="4" spans="2:16" x14ac:dyDescent="0.2">
      <c r="B4" s="43" t="s">
        <v>22</v>
      </c>
      <c r="C4" s="43" t="s">
        <v>153</v>
      </c>
      <c r="D4" s="43" t="s">
        <v>154</v>
      </c>
      <c r="E4" s="43" t="s">
        <v>155</v>
      </c>
      <c r="F4" s="43" t="s">
        <v>156</v>
      </c>
      <c r="G4" s="43" t="s">
        <v>47</v>
      </c>
      <c r="H4" s="43" t="s">
        <v>157</v>
      </c>
      <c r="I4" s="77" t="s">
        <v>159</v>
      </c>
      <c r="J4" s="77" t="s">
        <v>158</v>
      </c>
      <c r="K4" s="77" t="s">
        <v>399</v>
      </c>
      <c r="N4" s="81">
        <f>GETPIVOTDATA("Suma de Ventas",$M$5)</f>
        <v>5710185</v>
      </c>
      <c r="O4" s="81">
        <f>GETPIVOTDATA("Suma de Beneficio",$M$5)</f>
        <v>1703708.5599999996</v>
      </c>
      <c r="P4" s="80">
        <f>O4/N4</f>
        <v>0.29836311082740746</v>
      </c>
    </row>
    <row r="5" spans="2:16" x14ac:dyDescent="0.2">
      <c r="B5" s="75">
        <v>44227</v>
      </c>
      <c r="C5" s="43" t="s">
        <v>160</v>
      </c>
      <c r="D5" s="43" t="s">
        <v>161</v>
      </c>
      <c r="E5" s="43" t="s">
        <v>162</v>
      </c>
      <c r="F5" s="43" t="s">
        <v>163</v>
      </c>
      <c r="G5" s="43">
        <v>9731</v>
      </c>
      <c r="H5" s="43">
        <v>3016.61</v>
      </c>
      <c r="I5" s="43">
        <f>YEAR(tbl_dashboard[[#This Row],[Fecha]])</f>
        <v>2021</v>
      </c>
      <c r="J5" s="43" t="str">
        <f>TEXT(tbl_dashboard[[#This Row],[Fecha]],"mmmm")</f>
        <v>Enero</v>
      </c>
      <c r="K5" s="43">
        <f>WEEKNUM(tbl_dashboard[[#This Row],[Fecha]],2)</f>
        <v>5</v>
      </c>
      <c r="M5" s="74" t="s">
        <v>219</v>
      </c>
      <c r="N5" s="43" t="s">
        <v>221</v>
      </c>
      <c r="O5" s="43" t="s">
        <v>222</v>
      </c>
    </row>
    <row r="6" spans="2:16" x14ac:dyDescent="0.2">
      <c r="B6" s="75">
        <v>44227</v>
      </c>
      <c r="C6" s="43" t="s">
        <v>164</v>
      </c>
      <c r="D6" s="43" t="s">
        <v>165</v>
      </c>
      <c r="E6" s="43" t="s">
        <v>166</v>
      </c>
      <c r="F6" s="43" t="s">
        <v>163</v>
      </c>
      <c r="G6" s="43">
        <v>9142</v>
      </c>
      <c r="H6" s="43">
        <v>2194.08</v>
      </c>
      <c r="I6" s="43">
        <f>YEAR(tbl_dashboard[[#This Row],[Fecha]])</f>
        <v>2021</v>
      </c>
      <c r="J6" s="43" t="str">
        <f>TEXT(tbl_dashboard[[#This Row],[Fecha]],"mmmm")</f>
        <v>Enero</v>
      </c>
      <c r="K6" s="43">
        <f>WEEKNUM(tbl_dashboard[[#This Row],[Fecha]],2)</f>
        <v>5</v>
      </c>
      <c r="M6" s="44" t="s">
        <v>161</v>
      </c>
      <c r="N6" s="78">
        <v>1659248</v>
      </c>
      <c r="O6" s="78">
        <v>501084.57999999955</v>
      </c>
    </row>
    <row r="7" spans="2:16" x14ac:dyDescent="0.2">
      <c r="B7" s="75">
        <v>44227</v>
      </c>
      <c r="C7" s="43" t="s">
        <v>167</v>
      </c>
      <c r="D7" s="43" t="s">
        <v>168</v>
      </c>
      <c r="E7" s="43" t="s">
        <v>166</v>
      </c>
      <c r="F7" s="43" t="s">
        <v>169</v>
      </c>
      <c r="G7" s="43">
        <v>4458</v>
      </c>
      <c r="H7" s="43">
        <v>847.02</v>
      </c>
      <c r="I7" s="43">
        <f>YEAR(tbl_dashboard[[#This Row],[Fecha]])</f>
        <v>2021</v>
      </c>
      <c r="J7" s="43" t="str">
        <f>TEXT(tbl_dashboard[[#This Row],[Fecha]],"mmmm")</f>
        <v>Enero</v>
      </c>
      <c r="K7" s="43">
        <f>WEEKNUM(tbl_dashboard[[#This Row],[Fecha]],2)</f>
        <v>5</v>
      </c>
      <c r="M7" s="44" t="s">
        <v>168</v>
      </c>
      <c r="N7" s="78">
        <v>1849566</v>
      </c>
      <c r="O7" s="78">
        <v>554797.79</v>
      </c>
    </row>
    <row r="8" spans="2:16" x14ac:dyDescent="0.2">
      <c r="B8" s="75">
        <v>44227</v>
      </c>
      <c r="C8" s="43" t="s">
        <v>170</v>
      </c>
      <c r="D8" s="43" t="s">
        <v>165</v>
      </c>
      <c r="E8" s="43" t="s">
        <v>162</v>
      </c>
      <c r="F8" s="43" t="s">
        <v>169</v>
      </c>
      <c r="G8" s="43">
        <v>7882</v>
      </c>
      <c r="H8" s="43">
        <v>3310.44</v>
      </c>
      <c r="I8" s="43">
        <f>YEAR(tbl_dashboard[[#This Row],[Fecha]])</f>
        <v>2021</v>
      </c>
      <c r="J8" s="43" t="str">
        <f>TEXT(tbl_dashboard[[#This Row],[Fecha]],"mmmm")</f>
        <v>Enero</v>
      </c>
      <c r="K8" s="43">
        <f>WEEKNUM(tbl_dashboard[[#This Row],[Fecha]],2)</f>
        <v>5</v>
      </c>
      <c r="M8" s="44" t="s">
        <v>165</v>
      </c>
      <c r="N8" s="78">
        <v>2201371</v>
      </c>
      <c r="O8" s="78">
        <v>647826.18999999983</v>
      </c>
    </row>
    <row r="9" spans="2:16" x14ac:dyDescent="0.2">
      <c r="B9" s="75">
        <v>44227</v>
      </c>
      <c r="C9" s="43" t="s">
        <v>171</v>
      </c>
      <c r="D9" s="43" t="s">
        <v>165</v>
      </c>
      <c r="E9" s="43" t="s">
        <v>162</v>
      </c>
      <c r="F9" s="43" t="s">
        <v>163</v>
      </c>
      <c r="G9" s="43">
        <v>6102</v>
      </c>
      <c r="H9" s="43">
        <v>915.3</v>
      </c>
      <c r="I9" s="43">
        <f>YEAR(tbl_dashboard[[#This Row],[Fecha]])</f>
        <v>2021</v>
      </c>
      <c r="J9" s="43" t="str">
        <f>TEXT(tbl_dashboard[[#This Row],[Fecha]],"mmmm")</f>
        <v>Enero</v>
      </c>
      <c r="K9" s="43">
        <f>WEEKNUM(tbl_dashboard[[#This Row],[Fecha]],2)</f>
        <v>5</v>
      </c>
      <c r="M9" s="44" t="s">
        <v>220</v>
      </c>
      <c r="N9" s="78">
        <v>5710185</v>
      </c>
      <c r="O9" s="78">
        <v>1703708.5599999996</v>
      </c>
    </row>
    <row r="10" spans="2:16" x14ac:dyDescent="0.2">
      <c r="B10" s="75">
        <v>44227</v>
      </c>
      <c r="C10" s="43" t="s">
        <v>172</v>
      </c>
      <c r="D10" s="43" t="s">
        <v>165</v>
      </c>
      <c r="E10" s="43" t="s">
        <v>162</v>
      </c>
      <c r="F10" s="43" t="s">
        <v>163</v>
      </c>
      <c r="G10" s="43">
        <v>7832</v>
      </c>
      <c r="H10" s="43">
        <v>1801.36</v>
      </c>
      <c r="I10" s="43">
        <f>YEAR(tbl_dashboard[[#This Row],[Fecha]])</f>
        <v>2021</v>
      </c>
      <c r="J10" s="43" t="str">
        <f>TEXT(tbl_dashboard[[#This Row],[Fecha]],"mmmm")</f>
        <v>Enero</v>
      </c>
      <c r="K10" s="43">
        <f>WEEKNUM(tbl_dashboard[[#This Row],[Fecha]],2)</f>
        <v>5</v>
      </c>
    </row>
    <row r="11" spans="2:16" x14ac:dyDescent="0.2">
      <c r="B11" s="75">
        <v>44226</v>
      </c>
      <c r="C11" s="43" t="s">
        <v>173</v>
      </c>
      <c r="D11" s="43" t="s">
        <v>161</v>
      </c>
      <c r="E11" s="43" t="s">
        <v>166</v>
      </c>
      <c r="F11" s="43" t="s">
        <v>169</v>
      </c>
      <c r="G11" s="43">
        <v>10433</v>
      </c>
      <c r="H11" s="43">
        <v>4277.53</v>
      </c>
      <c r="I11" s="43">
        <f>YEAR(tbl_dashboard[[#This Row],[Fecha]])</f>
        <v>2021</v>
      </c>
      <c r="J11" s="43" t="str">
        <f>TEXT(tbl_dashboard[[#This Row],[Fecha]],"mmmm")</f>
        <v>Enero</v>
      </c>
      <c r="K11" s="43">
        <f>WEEKNUM(tbl_dashboard[[#This Row],[Fecha]],2)</f>
        <v>5</v>
      </c>
    </row>
    <row r="12" spans="2:16" x14ac:dyDescent="0.2">
      <c r="B12" s="75">
        <v>44222</v>
      </c>
      <c r="C12" s="43" t="s">
        <v>174</v>
      </c>
      <c r="D12" s="43" t="s">
        <v>165</v>
      </c>
      <c r="E12" s="43" t="s">
        <v>166</v>
      </c>
      <c r="F12" s="43" t="s">
        <v>163</v>
      </c>
      <c r="G12" s="43">
        <v>5797</v>
      </c>
      <c r="H12" s="43">
        <v>2028.95</v>
      </c>
      <c r="I12" s="43">
        <f>YEAR(tbl_dashboard[[#This Row],[Fecha]])</f>
        <v>2021</v>
      </c>
      <c r="J12" s="43" t="str">
        <f>TEXT(tbl_dashboard[[#This Row],[Fecha]],"mmmm")</f>
        <v>Enero</v>
      </c>
      <c r="K12" s="43">
        <f>WEEKNUM(tbl_dashboard[[#This Row],[Fecha]],2)</f>
        <v>5</v>
      </c>
      <c r="M12" s="74" t="s">
        <v>219</v>
      </c>
      <c r="N12" s="43" t="s">
        <v>221</v>
      </c>
      <c r="O12" s="43" t="s">
        <v>222</v>
      </c>
    </row>
    <row r="13" spans="2:16" x14ac:dyDescent="0.2">
      <c r="B13" s="75">
        <v>44221</v>
      </c>
      <c r="C13" s="43" t="s">
        <v>175</v>
      </c>
      <c r="D13" s="43" t="s">
        <v>168</v>
      </c>
      <c r="E13" s="43" t="s">
        <v>166</v>
      </c>
      <c r="F13" s="43" t="s">
        <v>169</v>
      </c>
      <c r="G13" s="43">
        <v>3957</v>
      </c>
      <c r="H13" s="43">
        <v>1384.95</v>
      </c>
      <c r="I13" s="43">
        <f>YEAR(tbl_dashboard[[#This Row],[Fecha]])</f>
        <v>2021</v>
      </c>
      <c r="J13" s="43" t="str">
        <f>TEXT(tbl_dashboard[[#This Row],[Fecha]],"mmmm")</f>
        <v>Enero</v>
      </c>
      <c r="K13" s="43">
        <f>WEEKNUM(tbl_dashboard[[#This Row],[Fecha]],2)</f>
        <v>5</v>
      </c>
      <c r="M13" s="44" t="s">
        <v>166</v>
      </c>
      <c r="N13" s="78">
        <v>2636078</v>
      </c>
      <c r="O13" s="78">
        <v>789531.60999999964</v>
      </c>
    </row>
    <row r="14" spans="2:16" x14ac:dyDescent="0.2">
      <c r="B14" s="75">
        <v>44221</v>
      </c>
      <c r="C14" s="43" t="s">
        <v>176</v>
      </c>
      <c r="D14" s="43" t="s">
        <v>161</v>
      </c>
      <c r="E14" s="43" t="s">
        <v>166</v>
      </c>
      <c r="F14" s="43" t="s">
        <v>169</v>
      </c>
      <c r="G14" s="43">
        <v>9623</v>
      </c>
      <c r="H14" s="43">
        <v>3271.82</v>
      </c>
      <c r="I14" s="43">
        <f>YEAR(tbl_dashboard[[#This Row],[Fecha]])</f>
        <v>2021</v>
      </c>
      <c r="J14" s="43" t="str">
        <f>TEXT(tbl_dashboard[[#This Row],[Fecha]],"mmmm")</f>
        <v>Enero</v>
      </c>
      <c r="K14" s="43">
        <f>WEEKNUM(tbl_dashboard[[#This Row],[Fecha]],2)</f>
        <v>5</v>
      </c>
      <c r="M14" s="44" t="s">
        <v>162</v>
      </c>
      <c r="N14" s="78">
        <v>3074107</v>
      </c>
      <c r="O14" s="78">
        <v>914176.94999999972</v>
      </c>
    </row>
    <row r="15" spans="2:16" x14ac:dyDescent="0.2">
      <c r="B15" s="75">
        <v>44221</v>
      </c>
      <c r="C15" s="43" t="s">
        <v>177</v>
      </c>
      <c r="D15" s="43" t="s">
        <v>165</v>
      </c>
      <c r="E15" s="43" t="s">
        <v>166</v>
      </c>
      <c r="F15" s="43" t="s">
        <v>169</v>
      </c>
      <c r="G15" s="43">
        <v>9221</v>
      </c>
      <c r="H15" s="43">
        <v>3780.61</v>
      </c>
      <c r="I15" s="43">
        <f>YEAR(tbl_dashboard[[#This Row],[Fecha]])</f>
        <v>2021</v>
      </c>
      <c r="J15" s="43" t="str">
        <f>TEXT(tbl_dashboard[[#This Row],[Fecha]],"mmmm")</f>
        <v>Enero</v>
      </c>
      <c r="K15" s="43">
        <f>WEEKNUM(tbl_dashboard[[#This Row],[Fecha]],2)</f>
        <v>5</v>
      </c>
      <c r="M15" s="44" t="s">
        <v>220</v>
      </c>
      <c r="N15" s="78">
        <v>5710185</v>
      </c>
      <c r="O15" s="78">
        <v>1703708.5599999994</v>
      </c>
    </row>
    <row r="16" spans="2:16" x14ac:dyDescent="0.2">
      <c r="B16" s="75">
        <v>44221</v>
      </c>
      <c r="C16" s="43" t="s">
        <v>178</v>
      </c>
      <c r="D16" s="43" t="s">
        <v>168</v>
      </c>
      <c r="E16" s="43" t="s">
        <v>166</v>
      </c>
      <c r="F16" s="43" t="s">
        <v>169</v>
      </c>
      <c r="G16" s="43">
        <v>7301</v>
      </c>
      <c r="H16" s="43">
        <v>1095.1500000000001</v>
      </c>
      <c r="I16" s="43">
        <f>YEAR(tbl_dashboard[[#This Row],[Fecha]])</f>
        <v>2021</v>
      </c>
      <c r="J16" s="43" t="str">
        <f>TEXT(tbl_dashboard[[#This Row],[Fecha]],"mmmm")</f>
        <v>Enero</v>
      </c>
      <c r="K16" s="43">
        <f>WEEKNUM(tbl_dashboard[[#This Row],[Fecha]],2)</f>
        <v>5</v>
      </c>
    </row>
    <row r="17" spans="2:15" x14ac:dyDescent="0.2">
      <c r="B17" s="75">
        <v>44220</v>
      </c>
      <c r="C17" s="43" t="s">
        <v>179</v>
      </c>
      <c r="D17" s="43" t="s">
        <v>168</v>
      </c>
      <c r="E17" s="43" t="s">
        <v>166</v>
      </c>
      <c r="F17" s="43" t="s">
        <v>169</v>
      </c>
      <c r="G17" s="43">
        <v>4257</v>
      </c>
      <c r="H17" s="43">
        <v>638.54999999999995</v>
      </c>
      <c r="I17" s="43">
        <f>YEAR(tbl_dashboard[[#This Row],[Fecha]])</f>
        <v>2021</v>
      </c>
      <c r="J17" s="43" t="str">
        <f>TEXT(tbl_dashboard[[#This Row],[Fecha]],"mmmm")</f>
        <v>Enero</v>
      </c>
      <c r="K17" s="43">
        <f>WEEKNUM(tbl_dashboard[[#This Row],[Fecha]],2)</f>
        <v>4</v>
      </c>
    </row>
    <row r="18" spans="2:15" x14ac:dyDescent="0.2">
      <c r="B18" s="75">
        <v>44226</v>
      </c>
      <c r="C18" s="43" t="s">
        <v>180</v>
      </c>
      <c r="D18" s="43" t="s">
        <v>165</v>
      </c>
      <c r="E18" s="43" t="s">
        <v>162</v>
      </c>
      <c r="F18" s="43" t="s">
        <v>163</v>
      </c>
      <c r="G18" s="43">
        <v>11659</v>
      </c>
      <c r="H18" s="43">
        <v>3847.47</v>
      </c>
      <c r="I18" s="43">
        <f>YEAR(tbl_dashboard[[#This Row],[Fecha]])</f>
        <v>2021</v>
      </c>
      <c r="J18" s="43" t="str">
        <f>TEXT(tbl_dashboard[[#This Row],[Fecha]],"mmmm")</f>
        <v>Enero</v>
      </c>
      <c r="K18" s="43">
        <f>WEEKNUM(tbl_dashboard[[#This Row],[Fecha]],2)</f>
        <v>5</v>
      </c>
      <c r="M18" s="74" t="s">
        <v>219</v>
      </c>
      <c r="N18" s="43" t="s">
        <v>221</v>
      </c>
    </row>
    <row r="19" spans="2:15" x14ac:dyDescent="0.2">
      <c r="B19" s="75">
        <v>44226</v>
      </c>
      <c r="C19" s="43" t="s">
        <v>181</v>
      </c>
      <c r="D19" s="43" t="s">
        <v>165</v>
      </c>
      <c r="E19" s="43" t="s">
        <v>162</v>
      </c>
      <c r="F19" s="43" t="s">
        <v>163</v>
      </c>
      <c r="G19" s="43">
        <v>4380</v>
      </c>
      <c r="H19" s="43">
        <v>700.8</v>
      </c>
      <c r="I19" s="43">
        <f>YEAR(tbl_dashboard[[#This Row],[Fecha]])</f>
        <v>2021</v>
      </c>
      <c r="J19" s="43" t="str">
        <f>TEXT(tbl_dashboard[[#This Row],[Fecha]],"mmmm")</f>
        <v>Enero</v>
      </c>
      <c r="K19" s="43">
        <f>WEEKNUM(tbl_dashboard[[#This Row],[Fecha]],2)</f>
        <v>5</v>
      </c>
      <c r="M19" s="44" t="s">
        <v>177</v>
      </c>
      <c r="N19" s="78">
        <v>260529</v>
      </c>
    </row>
    <row r="20" spans="2:15" x14ac:dyDescent="0.2">
      <c r="B20" s="75">
        <v>44226</v>
      </c>
      <c r="C20" s="43" t="s">
        <v>182</v>
      </c>
      <c r="D20" s="43" t="s">
        <v>165</v>
      </c>
      <c r="E20" s="43" t="s">
        <v>166</v>
      </c>
      <c r="F20" s="43" t="s">
        <v>169</v>
      </c>
      <c r="G20" s="43">
        <v>2049</v>
      </c>
      <c r="H20" s="43">
        <v>614.70000000000005</v>
      </c>
      <c r="I20" s="43">
        <f>YEAR(tbl_dashboard[[#This Row],[Fecha]])</f>
        <v>2021</v>
      </c>
      <c r="J20" s="43" t="str">
        <f>TEXT(tbl_dashboard[[#This Row],[Fecha]],"mmmm")</f>
        <v>Enero</v>
      </c>
      <c r="K20" s="43">
        <f>WEEKNUM(tbl_dashboard[[#This Row],[Fecha]],2)</f>
        <v>5</v>
      </c>
      <c r="M20" s="44" t="s">
        <v>178</v>
      </c>
      <c r="N20" s="78">
        <v>292543</v>
      </c>
    </row>
    <row r="21" spans="2:15" x14ac:dyDescent="0.2">
      <c r="B21" s="75">
        <v>44226</v>
      </c>
      <c r="C21" s="43" t="s">
        <v>183</v>
      </c>
      <c r="D21" s="43" t="s">
        <v>161</v>
      </c>
      <c r="E21" s="43" t="s">
        <v>162</v>
      </c>
      <c r="F21" s="43" t="s">
        <v>169</v>
      </c>
      <c r="G21" s="43">
        <v>3633</v>
      </c>
      <c r="H21" s="43">
        <v>1380.54</v>
      </c>
      <c r="I21" s="43">
        <f>YEAR(tbl_dashboard[[#This Row],[Fecha]])</f>
        <v>2021</v>
      </c>
      <c r="J21" s="43" t="str">
        <f>TEXT(tbl_dashboard[[#This Row],[Fecha]],"mmmm")</f>
        <v>Enero</v>
      </c>
      <c r="K21" s="43">
        <f>WEEKNUM(tbl_dashboard[[#This Row],[Fecha]],2)</f>
        <v>5</v>
      </c>
      <c r="M21" s="44" t="s">
        <v>179</v>
      </c>
      <c r="N21" s="78">
        <v>253349</v>
      </c>
    </row>
    <row r="22" spans="2:15" x14ac:dyDescent="0.2">
      <c r="B22" s="75">
        <v>44226</v>
      </c>
      <c r="C22" s="43" t="s">
        <v>184</v>
      </c>
      <c r="D22" s="43" t="s">
        <v>165</v>
      </c>
      <c r="E22" s="43" t="s">
        <v>166</v>
      </c>
      <c r="F22" s="43" t="s">
        <v>163</v>
      </c>
      <c r="G22" s="43">
        <v>3347</v>
      </c>
      <c r="H22" s="43">
        <v>1171.45</v>
      </c>
      <c r="I22" s="43">
        <f>YEAR(tbl_dashboard[[#This Row],[Fecha]])</f>
        <v>2021</v>
      </c>
      <c r="J22" s="43" t="str">
        <f>TEXT(tbl_dashboard[[#This Row],[Fecha]],"mmmm")</f>
        <v>Enero</v>
      </c>
      <c r="K22" s="43">
        <f>WEEKNUM(tbl_dashboard[[#This Row],[Fecha]],2)</f>
        <v>5</v>
      </c>
      <c r="M22" s="44" t="s">
        <v>164</v>
      </c>
      <c r="N22" s="78">
        <v>254960</v>
      </c>
    </row>
    <row r="23" spans="2:15" x14ac:dyDescent="0.2">
      <c r="B23" s="75">
        <v>44226</v>
      </c>
      <c r="C23" s="43" t="s">
        <v>185</v>
      </c>
      <c r="D23" s="43" t="s">
        <v>165</v>
      </c>
      <c r="E23" s="43" t="s">
        <v>162</v>
      </c>
      <c r="F23" s="43" t="s">
        <v>163</v>
      </c>
      <c r="G23" s="43">
        <v>11574</v>
      </c>
      <c r="H23" s="43">
        <v>2893.5</v>
      </c>
      <c r="I23" s="43">
        <f>YEAR(tbl_dashboard[[#This Row],[Fecha]])</f>
        <v>2021</v>
      </c>
      <c r="J23" s="43" t="str">
        <f>TEXT(tbl_dashboard[[#This Row],[Fecha]],"mmmm")</f>
        <v>Enero</v>
      </c>
      <c r="K23" s="43">
        <f>WEEKNUM(tbl_dashboard[[#This Row],[Fecha]],2)</f>
        <v>5</v>
      </c>
      <c r="M23" s="44" t="s">
        <v>174</v>
      </c>
      <c r="N23" s="78">
        <v>251048</v>
      </c>
    </row>
    <row r="24" spans="2:15" x14ac:dyDescent="0.2">
      <c r="B24" s="75">
        <v>44226</v>
      </c>
      <c r="C24" s="43" t="s">
        <v>186</v>
      </c>
      <c r="D24" s="43" t="s">
        <v>168</v>
      </c>
      <c r="E24" s="43" t="s">
        <v>162</v>
      </c>
      <c r="F24" s="43" t="s">
        <v>169</v>
      </c>
      <c r="G24" s="43">
        <v>11768</v>
      </c>
      <c r="H24" s="43">
        <v>3059.68</v>
      </c>
      <c r="I24" s="43">
        <f>YEAR(tbl_dashboard[[#This Row],[Fecha]])</f>
        <v>2021</v>
      </c>
      <c r="J24" s="43" t="str">
        <f>TEXT(tbl_dashboard[[#This Row],[Fecha]],"mmmm")</f>
        <v>Enero</v>
      </c>
      <c r="K24" s="43">
        <f>WEEKNUM(tbl_dashboard[[#This Row],[Fecha]],2)</f>
        <v>5</v>
      </c>
      <c r="M24" s="44" t="s">
        <v>220</v>
      </c>
      <c r="N24" s="78">
        <v>1312429</v>
      </c>
    </row>
    <row r="25" spans="2:15" x14ac:dyDescent="0.2">
      <c r="B25" s="75">
        <v>44222</v>
      </c>
      <c r="C25" s="43" t="s">
        <v>187</v>
      </c>
      <c r="D25" s="43" t="s">
        <v>165</v>
      </c>
      <c r="E25" s="43" t="s">
        <v>166</v>
      </c>
      <c r="F25" s="43" t="s">
        <v>163</v>
      </c>
      <c r="G25" s="43">
        <v>3678</v>
      </c>
      <c r="H25" s="43">
        <v>1324.08</v>
      </c>
      <c r="I25" s="43">
        <f>YEAR(tbl_dashboard[[#This Row],[Fecha]])</f>
        <v>2021</v>
      </c>
      <c r="J25" s="43" t="str">
        <f>TEXT(tbl_dashboard[[#This Row],[Fecha]],"mmmm")</f>
        <v>Enero</v>
      </c>
      <c r="K25" s="43">
        <f>WEEKNUM(tbl_dashboard[[#This Row],[Fecha]],2)</f>
        <v>5</v>
      </c>
    </row>
    <row r="26" spans="2:15" x14ac:dyDescent="0.2">
      <c r="B26" s="75">
        <v>44221</v>
      </c>
      <c r="C26" s="43" t="s">
        <v>188</v>
      </c>
      <c r="D26" s="43" t="s">
        <v>161</v>
      </c>
      <c r="E26" s="43" t="s">
        <v>162</v>
      </c>
      <c r="F26" s="43" t="s">
        <v>169</v>
      </c>
      <c r="G26" s="43">
        <v>8498</v>
      </c>
      <c r="H26" s="43">
        <v>3144.26</v>
      </c>
      <c r="I26" s="43">
        <f>YEAR(tbl_dashboard[[#This Row],[Fecha]])</f>
        <v>2021</v>
      </c>
      <c r="J26" s="43" t="str">
        <f>TEXT(tbl_dashboard[[#This Row],[Fecha]],"mmmm")</f>
        <v>Enero</v>
      </c>
      <c r="K26" s="43">
        <f>WEEKNUM(tbl_dashboard[[#This Row],[Fecha]],2)</f>
        <v>5</v>
      </c>
    </row>
    <row r="27" spans="2:15" x14ac:dyDescent="0.2">
      <c r="B27" s="75">
        <v>44221</v>
      </c>
      <c r="C27" s="43" t="s">
        <v>189</v>
      </c>
      <c r="D27" s="43" t="s">
        <v>161</v>
      </c>
      <c r="E27" s="43" t="s">
        <v>162</v>
      </c>
      <c r="F27" s="43" t="s">
        <v>169</v>
      </c>
      <c r="G27" s="43">
        <v>6094</v>
      </c>
      <c r="H27" s="43">
        <v>1157.8599999999999</v>
      </c>
      <c r="I27" s="43">
        <f>YEAR(tbl_dashboard[[#This Row],[Fecha]])</f>
        <v>2021</v>
      </c>
      <c r="J27" s="43" t="str">
        <f>TEXT(tbl_dashboard[[#This Row],[Fecha]],"mmmm")</f>
        <v>Enero</v>
      </c>
      <c r="K27" s="43">
        <f>WEEKNUM(tbl_dashboard[[#This Row],[Fecha]],2)</f>
        <v>5</v>
      </c>
      <c r="M27" s="74" t="s">
        <v>219</v>
      </c>
      <c r="N27" s="43" t="s">
        <v>221</v>
      </c>
    </row>
    <row r="28" spans="2:15" x14ac:dyDescent="0.2">
      <c r="B28" s="75">
        <v>44221</v>
      </c>
      <c r="C28" s="43" t="s">
        <v>190</v>
      </c>
      <c r="D28" s="43" t="s">
        <v>161</v>
      </c>
      <c r="E28" s="43" t="s">
        <v>166</v>
      </c>
      <c r="F28" s="43" t="s">
        <v>169</v>
      </c>
      <c r="G28" s="43">
        <v>11208</v>
      </c>
      <c r="H28" s="43">
        <v>3698.64</v>
      </c>
      <c r="I28" s="43">
        <f>YEAR(tbl_dashboard[[#This Row],[Fecha]])</f>
        <v>2021</v>
      </c>
      <c r="J28" s="43" t="str">
        <f>TEXT(tbl_dashboard[[#This Row],[Fecha]],"mmmm")</f>
        <v>Enero</v>
      </c>
      <c r="K28" s="43">
        <f>WEEKNUM(tbl_dashboard[[#This Row],[Fecha]],2)</f>
        <v>5</v>
      </c>
      <c r="M28" s="44" t="s">
        <v>163</v>
      </c>
      <c r="N28" s="78">
        <v>2269924</v>
      </c>
    </row>
    <row r="29" spans="2:15" x14ac:dyDescent="0.2">
      <c r="B29" s="75">
        <v>44221</v>
      </c>
      <c r="C29" s="43" t="s">
        <v>191</v>
      </c>
      <c r="D29" s="43" t="s">
        <v>168</v>
      </c>
      <c r="E29" s="43" t="s">
        <v>162</v>
      </c>
      <c r="F29" s="43" t="s">
        <v>169</v>
      </c>
      <c r="G29" s="43">
        <v>2430</v>
      </c>
      <c r="H29" s="43">
        <v>777.6</v>
      </c>
      <c r="I29" s="43">
        <f>YEAR(tbl_dashboard[[#This Row],[Fecha]])</f>
        <v>2021</v>
      </c>
      <c r="J29" s="43" t="str">
        <f>TEXT(tbl_dashboard[[#This Row],[Fecha]],"mmmm")</f>
        <v>Enero</v>
      </c>
      <c r="K29" s="43">
        <f>WEEKNUM(tbl_dashboard[[#This Row],[Fecha]],2)</f>
        <v>5</v>
      </c>
      <c r="M29" s="44" t="s">
        <v>169</v>
      </c>
      <c r="N29" s="78">
        <v>3440261</v>
      </c>
      <c r="O29" s="79">
        <f>GETPIVOTDATA("Ventas",$M$27,"Estado","Pendiente")/GETPIVOTDATA("Ventas",$M$27)</f>
        <v>0.60247802829505526</v>
      </c>
    </row>
    <row r="30" spans="2:15" x14ac:dyDescent="0.2">
      <c r="B30" s="75">
        <v>44220</v>
      </c>
      <c r="C30" s="43" t="s">
        <v>192</v>
      </c>
      <c r="D30" s="43" t="s">
        <v>161</v>
      </c>
      <c r="E30" s="43" t="s">
        <v>162</v>
      </c>
      <c r="F30" s="43" t="s">
        <v>169</v>
      </c>
      <c r="G30" s="43">
        <v>10748</v>
      </c>
      <c r="H30" s="43">
        <v>4406.68</v>
      </c>
      <c r="I30" s="43">
        <f>YEAR(tbl_dashboard[[#This Row],[Fecha]])</f>
        <v>2021</v>
      </c>
      <c r="J30" s="43" t="str">
        <f>TEXT(tbl_dashboard[[#This Row],[Fecha]],"mmmm")</f>
        <v>Enero</v>
      </c>
      <c r="K30" s="43">
        <f>WEEKNUM(tbl_dashboard[[#This Row],[Fecha]],2)</f>
        <v>4</v>
      </c>
      <c r="M30" s="44" t="s">
        <v>220</v>
      </c>
      <c r="N30" s="78">
        <v>5710185</v>
      </c>
    </row>
    <row r="31" spans="2:15" x14ac:dyDescent="0.2">
      <c r="B31" s="75">
        <v>44227</v>
      </c>
      <c r="C31" s="43" t="s">
        <v>193</v>
      </c>
      <c r="D31" s="43" t="s">
        <v>161</v>
      </c>
      <c r="E31" s="43" t="s">
        <v>162</v>
      </c>
      <c r="F31" s="43" t="s">
        <v>163</v>
      </c>
      <c r="G31" s="43">
        <v>9609</v>
      </c>
      <c r="H31" s="43">
        <v>3651.42</v>
      </c>
      <c r="I31" s="43">
        <f>YEAR(tbl_dashboard[[#This Row],[Fecha]])</f>
        <v>2021</v>
      </c>
      <c r="J31" s="43" t="str">
        <f>TEXT(tbl_dashboard[[#This Row],[Fecha]],"mmmm")</f>
        <v>Enero</v>
      </c>
      <c r="K31" s="43">
        <f>WEEKNUM(tbl_dashboard[[#This Row],[Fecha]],2)</f>
        <v>5</v>
      </c>
    </row>
    <row r="32" spans="2:15" x14ac:dyDescent="0.2">
      <c r="B32" s="75">
        <v>44227</v>
      </c>
      <c r="C32" s="43" t="s">
        <v>194</v>
      </c>
      <c r="D32" s="43" t="s">
        <v>161</v>
      </c>
      <c r="E32" s="43" t="s">
        <v>162</v>
      </c>
      <c r="F32" s="43" t="s">
        <v>163</v>
      </c>
      <c r="G32" s="43">
        <v>3334</v>
      </c>
      <c r="H32" s="43">
        <v>1233.58</v>
      </c>
      <c r="I32" s="43">
        <f>YEAR(tbl_dashboard[[#This Row],[Fecha]])</f>
        <v>2021</v>
      </c>
      <c r="J32" s="43" t="str">
        <f>TEXT(tbl_dashboard[[#This Row],[Fecha]],"mmmm")</f>
        <v>Enero</v>
      </c>
      <c r="K32" s="43">
        <f>WEEKNUM(tbl_dashboard[[#This Row],[Fecha]],2)</f>
        <v>5</v>
      </c>
    </row>
    <row r="33" spans="2:25" x14ac:dyDescent="0.2">
      <c r="B33" s="75">
        <v>44227</v>
      </c>
      <c r="C33" s="43" t="s">
        <v>195</v>
      </c>
      <c r="D33" s="43" t="s">
        <v>161</v>
      </c>
      <c r="E33" s="43" t="s">
        <v>162</v>
      </c>
      <c r="F33" s="43" t="s">
        <v>169</v>
      </c>
      <c r="G33" s="43">
        <v>11944</v>
      </c>
      <c r="H33" s="43">
        <v>5374.8</v>
      </c>
      <c r="I33" s="43">
        <f>YEAR(tbl_dashboard[[#This Row],[Fecha]])</f>
        <v>2021</v>
      </c>
      <c r="J33" s="43" t="str">
        <f>TEXT(tbl_dashboard[[#This Row],[Fecha]],"mmmm")</f>
        <v>Enero</v>
      </c>
      <c r="K33" s="43">
        <f>WEEKNUM(tbl_dashboard[[#This Row],[Fecha]],2)</f>
        <v>5</v>
      </c>
    </row>
    <row r="34" spans="2:25" x14ac:dyDescent="0.2">
      <c r="B34" s="75">
        <v>44227</v>
      </c>
      <c r="C34" s="43" t="s">
        <v>196</v>
      </c>
      <c r="D34" s="43" t="s">
        <v>168</v>
      </c>
      <c r="E34" s="43" t="s">
        <v>162</v>
      </c>
      <c r="F34" s="43" t="s">
        <v>169</v>
      </c>
      <c r="G34" s="43">
        <v>2224</v>
      </c>
      <c r="H34" s="43">
        <v>978.56</v>
      </c>
      <c r="I34" s="43">
        <f>YEAR(tbl_dashboard[[#This Row],[Fecha]])</f>
        <v>2021</v>
      </c>
      <c r="J34" s="43" t="str">
        <f>TEXT(tbl_dashboard[[#This Row],[Fecha]],"mmmm")</f>
        <v>Enero</v>
      </c>
      <c r="K34" s="43">
        <f>WEEKNUM(tbl_dashboard[[#This Row],[Fecha]],2)</f>
        <v>5</v>
      </c>
      <c r="M34" s="74" t="s">
        <v>156</v>
      </c>
      <c r="N34" s="43" t="s">
        <v>169</v>
      </c>
    </row>
    <row r="35" spans="2:25" x14ac:dyDescent="0.2">
      <c r="B35" s="75">
        <v>44227</v>
      </c>
      <c r="C35" s="43" t="s">
        <v>197</v>
      </c>
      <c r="D35" s="43" t="s">
        <v>168</v>
      </c>
      <c r="E35" s="43" t="s">
        <v>166</v>
      </c>
      <c r="F35" s="43" t="s">
        <v>163</v>
      </c>
      <c r="G35" s="43">
        <v>7854</v>
      </c>
      <c r="H35" s="43">
        <v>2827.44</v>
      </c>
      <c r="I35" s="43">
        <f>YEAR(tbl_dashboard[[#This Row],[Fecha]])</f>
        <v>2021</v>
      </c>
      <c r="J35" s="43" t="str">
        <f>TEXT(tbl_dashboard[[#This Row],[Fecha]],"mmmm")</f>
        <v>Enero</v>
      </c>
      <c r="K35" s="43">
        <f>WEEKNUM(tbl_dashboard[[#This Row],[Fecha]],2)</f>
        <v>5</v>
      </c>
    </row>
    <row r="36" spans="2:25" x14ac:dyDescent="0.2">
      <c r="B36" s="75">
        <v>44227</v>
      </c>
      <c r="C36" s="43" t="s">
        <v>198</v>
      </c>
      <c r="D36" s="43" t="s">
        <v>168</v>
      </c>
      <c r="E36" s="43" t="s">
        <v>166</v>
      </c>
      <c r="F36" s="43" t="s">
        <v>163</v>
      </c>
      <c r="G36" s="43">
        <v>11564</v>
      </c>
      <c r="H36" s="43">
        <v>4972.5200000000004</v>
      </c>
      <c r="I36" s="43">
        <f>YEAR(tbl_dashboard[[#This Row],[Fecha]])</f>
        <v>2021</v>
      </c>
      <c r="J36" s="43" t="str">
        <f>TEXT(tbl_dashboard[[#This Row],[Fecha]],"mmmm")</f>
        <v>Enero</v>
      </c>
      <c r="K36" s="43">
        <f>WEEKNUM(tbl_dashboard[[#This Row],[Fecha]],2)</f>
        <v>5</v>
      </c>
      <c r="M36" s="74" t="s">
        <v>219</v>
      </c>
      <c r="N36" s="43" t="s">
        <v>221</v>
      </c>
    </row>
    <row r="37" spans="2:25" x14ac:dyDescent="0.2">
      <c r="B37" s="75">
        <v>44226</v>
      </c>
      <c r="C37" s="43" t="s">
        <v>199</v>
      </c>
      <c r="D37" s="43" t="s">
        <v>165</v>
      </c>
      <c r="E37" s="43" t="s">
        <v>166</v>
      </c>
      <c r="F37" s="43" t="s">
        <v>169</v>
      </c>
      <c r="G37" s="43">
        <v>8933</v>
      </c>
      <c r="H37" s="43">
        <v>3483.87</v>
      </c>
      <c r="I37" s="43">
        <f>YEAR(tbl_dashboard[[#This Row],[Fecha]])</f>
        <v>2021</v>
      </c>
      <c r="J37" s="43" t="str">
        <f>TEXT(tbl_dashboard[[#This Row],[Fecha]],"mmmm")</f>
        <v>Enero</v>
      </c>
      <c r="K37" s="43">
        <f>WEEKNUM(tbl_dashboard[[#This Row],[Fecha]],2)</f>
        <v>5</v>
      </c>
      <c r="M37" s="44" t="s">
        <v>176</v>
      </c>
      <c r="N37" s="78">
        <v>207078</v>
      </c>
    </row>
    <row r="38" spans="2:25" x14ac:dyDescent="0.2">
      <c r="B38" s="75">
        <v>44222</v>
      </c>
      <c r="C38" s="43" t="s">
        <v>200</v>
      </c>
      <c r="D38" s="43" t="s">
        <v>168</v>
      </c>
      <c r="E38" s="43" t="s">
        <v>162</v>
      </c>
      <c r="F38" s="43" t="s">
        <v>163</v>
      </c>
      <c r="G38" s="43">
        <v>11324</v>
      </c>
      <c r="H38" s="43">
        <v>4756.08</v>
      </c>
      <c r="I38" s="43">
        <f>YEAR(tbl_dashboard[[#This Row],[Fecha]])</f>
        <v>2021</v>
      </c>
      <c r="J38" s="43" t="str">
        <f>TEXT(tbl_dashboard[[#This Row],[Fecha]],"mmmm")</f>
        <v>Enero</v>
      </c>
      <c r="K38" s="43">
        <f>WEEKNUM(tbl_dashboard[[#This Row],[Fecha]],2)</f>
        <v>5</v>
      </c>
      <c r="M38" s="44" t="s">
        <v>179</v>
      </c>
      <c r="N38" s="78">
        <v>194779</v>
      </c>
    </row>
    <row r="39" spans="2:25" x14ac:dyDescent="0.2">
      <c r="B39" s="75">
        <v>44221</v>
      </c>
      <c r="C39" s="43" t="s">
        <v>201</v>
      </c>
      <c r="D39" s="43" t="s">
        <v>161</v>
      </c>
      <c r="E39" s="43" t="s">
        <v>162</v>
      </c>
      <c r="F39" s="43" t="s">
        <v>169</v>
      </c>
      <c r="G39" s="43">
        <v>1924</v>
      </c>
      <c r="H39" s="43">
        <v>865.8</v>
      </c>
      <c r="I39" s="43">
        <f>YEAR(tbl_dashboard[[#This Row],[Fecha]])</f>
        <v>2021</v>
      </c>
      <c r="J39" s="43" t="str">
        <f>TEXT(tbl_dashboard[[#This Row],[Fecha]],"mmmm")</f>
        <v>Enero</v>
      </c>
      <c r="K39" s="43">
        <f>WEEKNUM(tbl_dashboard[[#This Row],[Fecha]],2)</f>
        <v>5</v>
      </c>
      <c r="M39" s="44" t="s">
        <v>170</v>
      </c>
      <c r="N39" s="78">
        <v>167079</v>
      </c>
    </row>
    <row r="40" spans="2:25" x14ac:dyDescent="0.2">
      <c r="B40" s="75">
        <v>44221</v>
      </c>
      <c r="C40" s="43" t="s">
        <v>202</v>
      </c>
      <c r="D40" s="43" t="s">
        <v>168</v>
      </c>
      <c r="E40" s="43" t="s">
        <v>162</v>
      </c>
      <c r="F40" s="43" t="s">
        <v>169</v>
      </c>
      <c r="G40" s="43">
        <v>7271</v>
      </c>
      <c r="H40" s="43">
        <v>2399.4299999999998</v>
      </c>
      <c r="I40" s="43">
        <f>YEAR(tbl_dashboard[[#This Row],[Fecha]])</f>
        <v>2021</v>
      </c>
      <c r="J40" s="43" t="str">
        <f>TEXT(tbl_dashboard[[#This Row],[Fecha]],"mmmm")</f>
        <v>Enero</v>
      </c>
      <c r="K40" s="43">
        <f>WEEKNUM(tbl_dashboard[[#This Row],[Fecha]],2)</f>
        <v>5</v>
      </c>
      <c r="M40" s="44" t="s">
        <v>173</v>
      </c>
      <c r="N40" s="78">
        <v>189845</v>
      </c>
    </row>
    <row r="41" spans="2:25" x14ac:dyDescent="0.2">
      <c r="B41" s="75">
        <v>44221</v>
      </c>
      <c r="C41" s="43" t="s">
        <v>203</v>
      </c>
      <c r="D41" s="43" t="s">
        <v>161</v>
      </c>
      <c r="E41" s="43" t="s">
        <v>166</v>
      </c>
      <c r="F41" s="43" t="s">
        <v>169</v>
      </c>
      <c r="G41" s="43">
        <v>4790</v>
      </c>
      <c r="H41" s="43">
        <v>1293.3</v>
      </c>
      <c r="I41" s="43">
        <f>YEAR(tbl_dashboard[[#This Row],[Fecha]])</f>
        <v>2021</v>
      </c>
      <c r="J41" s="43" t="str">
        <f>TEXT(tbl_dashboard[[#This Row],[Fecha]],"mmmm")</f>
        <v>Enero</v>
      </c>
      <c r="K41" s="43">
        <f>WEEKNUM(tbl_dashboard[[#This Row],[Fecha]],2)</f>
        <v>5</v>
      </c>
      <c r="M41" s="44" t="s">
        <v>175</v>
      </c>
      <c r="N41" s="78">
        <v>180867</v>
      </c>
    </row>
    <row r="42" spans="2:25" x14ac:dyDescent="0.2">
      <c r="B42" s="75">
        <v>44221</v>
      </c>
      <c r="C42" s="43" t="s">
        <v>204</v>
      </c>
      <c r="D42" s="43" t="s">
        <v>161</v>
      </c>
      <c r="E42" s="43" t="s">
        <v>166</v>
      </c>
      <c r="F42" s="43" t="s">
        <v>169</v>
      </c>
      <c r="G42" s="43">
        <v>9643</v>
      </c>
      <c r="H42" s="43">
        <v>3278.62</v>
      </c>
      <c r="I42" s="43">
        <f>YEAR(tbl_dashboard[[#This Row],[Fecha]])</f>
        <v>2021</v>
      </c>
      <c r="J42" s="43" t="str">
        <f>TEXT(tbl_dashboard[[#This Row],[Fecha]],"mmmm")</f>
        <v>Enero</v>
      </c>
      <c r="K42" s="43">
        <f>WEEKNUM(tbl_dashboard[[#This Row],[Fecha]],2)</f>
        <v>5</v>
      </c>
      <c r="M42" s="44" t="s">
        <v>220</v>
      </c>
      <c r="N42" s="78">
        <v>939648</v>
      </c>
    </row>
    <row r="43" spans="2:25" x14ac:dyDescent="0.2">
      <c r="B43" s="75">
        <v>44220</v>
      </c>
      <c r="C43" s="43" t="s">
        <v>205</v>
      </c>
      <c r="D43" s="43" t="s">
        <v>168</v>
      </c>
      <c r="E43" s="43" t="s">
        <v>166</v>
      </c>
      <c r="F43" s="43" t="s">
        <v>169</v>
      </c>
      <c r="G43" s="43">
        <v>1894</v>
      </c>
      <c r="H43" s="43">
        <v>700.78</v>
      </c>
      <c r="I43" s="43">
        <f>YEAR(tbl_dashboard[[#This Row],[Fecha]])</f>
        <v>2021</v>
      </c>
      <c r="J43" s="43" t="str">
        <f>TEXT(tbl_dashboard[[#This Row],[Fecha]],"mmmm")</f>
        <v>Enero</v>
      </c>
      <c r="K43" s="43">
        <f>WEEKNUM(tbl_dashboard[[#This Row],[Fecha]],2)</f>
        <v>4</v>
      </c>
    </row>
    <row r="44" spans="2:25" x14ac:dyDescent="0.2">
      <c r="B44" s="75">
        <v>44226</v>
      </c>
      <c r="C44" s="43" t="s">
        <v>206</v>
      </c>
      <c r="D44" s="43" t="s">
        <v>161</v>
      </c>
      <c r="E44" s="43" t="s">
        <v>166</v>
      </c>
      <c r="F44" s="43" t="s">
        <v>163</v>
      </c>
      <c r="G44" s="43">
        <v>5589</v>
      </c>
      <c r="H44" s="43">
        <v>1285.47</v>
      </c>
      <c r="I44" s="43">
        <f>YEAR(tbl_dashboard[[#This Row],[Fecha]])</f>
        <v>2021</v>
      </c>
      <c r="J44" s="43" t="str">
        <f>TEXT(tbl_dashboard[[#This Row],[Fecha]],"mmmm")</f>
        <v>Enero</v>
      </c>
      <c r="K44" s="43">
        <f>WEEKNUM(tbl_dashboard[[#This Row],[Fecha]],2)</f>
        <v>5</v>
      </c>
      <c r="R44" s="43" t="s">
        <v>527</v>
      </c>
    </row>
    <row r="45" spans="2:25" x14ac:dyDescent="0.2">
      <c r="B45" s="75">
        <v>44226</v>
      </c>
      <c r="C45" s="43" t="s">
        <v>207</v>
      </c>
      <c r="D45" s="43" t="s">
        <v>168</v>
      </c>
      <c r="E45" s="43" t="s">
        <v>166</v>
      </c>
      <c r="F45" s="43" t="s">
        <v>163</v>
      </c>
      <c r="G45" s="43">
        <v>1031</v>
      </c>
      <c r="H45" s="43">
        <v>463.95</v>
      </c>
      <c r="I45" s="43">
        <f>YEAR(tbl_dashboard[[#This Row],[Fecha]])</f>
        <v>2021</v>
      </c>
      <c r="J45" s="43" t="str">
        <f>TEXT(tbl_dashboard[[#This Row],[Fecha]],"mmmm")</f>
        <v>Enero</v>
      </c>
      <c r="K45" s="43">
        <f>WEEKNUM(tbl_dashboard[[#This Row],[Fecha]],2)</f>
        <v>5</v>
      </c>
    </row>
    <row r="46" spans="2:25" ht="14.4" x14ac:dyDescent="0.3">
      <c r="B46" s="75">
        <v>44226</v>
      </c>
      <c r="C46" s="43" t="s">
        <v>208</v>
      </c>
      <c r="D46" s="43" t="s">
        <v>168</v>
      </c>
      <c r="E46" s="43" t="s">
        <v>166</v>
      </c>
      <c r="F46" s="43" t="s">
        <v>169</v>
      </c>
      <c r="G46" s="43">
        <v>4727</v>
      </c>
      <c r="H46" s="43">
        <v>1087.21</v>
      </c>
      <c r="I46" s="43">
        <f>YEAR(tbl_dashboard[[#This Row],[Fecha]])</f>
        <v>2021</v>
      </c>
      <c r="J46" s="43" t="str">
        <f>TEXT(tbl_dashboard[[#This Row],[Fecha]],"mmmm")</f>
        <v>Enero</v>
      </c>
      <c r="K46" s="43">
        <f>WEEKNUM(tbl_dashboard[[#This Row],[Fecha]],2)</f>
        <v>5</v>
      </c>
      <c r="U46"/>
      <c r="V46"/>
      <c r="W46"/>
      <c r="X46"/>
      <c r="Y46"/>
    </row>
    <row r="47" spans="2:25" ht="14.4" x14ac:dyDescent="0.3">
      <c r="B47" s="75">
        <v>44226</v>
      </c>
      <c r="C47" s="43" t="s">
        <v>209</v>
      </c>
      <c r="D47" s="43" t="s">
        <v>168</v>
      </c>
      <c r="E47" s="43" t="s">
        <v>162</v>
      </c>
      <c r="F47" s="43" t="s">
        <v>169</v>
      </c>
      <c r="G47" s="43">
        <v>1365</v>
      </c>
      <c r="H47" s="43">
        <v>423.15</v>
      </c>
      <c r="I47" s="43">
        <f>YEAR(tbl_dashboard[[#This Row],[Fecha]])</f>
        <v>2021</v>
      </c>
      <c r="J47" s="43" t="str">
        <f>TEXT(tbl_dashboard[[#This Row],[Fecha]],"mmmm")</f>
        <v>Enero</v>
      </c>
      <c r="K47" s="43">
        <f>WEEKNUM(tbl_dashboard[[#This Row],[Fecha]],2)</f>
        <v>5</v>
      </c>
      <c r="R47" s="43" t="s">
        <v>528</v>
      </c>
      <c r="U47"/>
      <c r="V47"/>
      <c r="W47"/>
      <c r="X47"/>
      <c r="Y47"/>
    </row>
    <row r="48" spans="2:25" ht="14.4" x14ac:dyDescent="0.3">
      <c r="B48" s="75">
        <v>44226</v>
      </c>
      <c r="C48" s="43" t="s">
        <v>210</v>
      </c>
      <c r="D48" s="43" t="s">
        <v>168</v>
      </c>
      <c r="E48" s="43" t="s">
        <v>166</v>
      </c>
      <c r="F48" s="43" t="s">
        <v>163</v>
      </c>
      <c r="G48" s="43">
        <v>1369</v>
      </c>
      <c r="H48" s="43">
        <v>260.11</v>
      </c>
      <c r="I48" s="43">
        <f>YEAR(tbl_dashboard[[#This Row],[Fecha]])</f>
        <v>2021</v>
      </c>
      <c r="J48" s="43" t="str">
        <f>TEXT(tbl_dashboard[[#This Row],[Fecha]],"mmmm")</f>
        <v>Enero</v>
      </c>
      <c r="K48" s="43">
        <f>WEEKNUM(tbl_dashboard[[#This Row],[Fecha]],2)</f>
        <v>5</v>
      </c>
      <c r="U48"/>
      <c r="V48"/>
      <c r="W48"/>
      <c r="X48"/>
      <c r="Y48"/>
    </row>
    <row r="49" spans="2:25" ht="14.4" x14ac:dyDescent="0.3">
      <c r="B49" s="75">
        <v>44226</v>
      </c>
      <c r="C49" s="43" t="s">
        <v>211</v>
      </c>
      <c r="D49" s="43" t="s">
        <v>165</v>
      </c>
      <c r="E49" s="43" t="s">
        <v>166</v>
      </c>
      <c r="F49" s="43" t="s">
        <v>163</v>
      </c>
      <c r="G49" s="43">
        <v>8500</v>
      </c>
      <c r="H49" s="43">
        <v>2210</v>
      </c>
      <c r="I49" s="43">
        <f>YEAR(tbl_dashboard[[#This Row],[Fecha]])</f>
        <v>2021</v>
      </c>
      <c r="J49" s="43" t="str">
        <f>TEXT(tbl_dashboard[[#This Row],[Fecha]],"mmmm")</f>
        <v>Enero</v>
      </c>
      <c r="K49" s="43">
        <f>WEEKNUM(tbl_dashboard[[#This Row],[Fecha]],2)</f>
        <v>5</v>
      </c>
      <c r="R49" s="43" t="s">
        <v>529</v>
      </c>
      <c r="U49"/>
      <c r="V49"/>
      <c r="W49"/>
      <c r="X49"/>
      <c r="Y49"/>
    </row>
    <row r="50" spans="2:25" ht="14.4" x14ac:dyDescent="0.3">
      <c r="B50" s="75">
        <v>44226</v>
      </c>
      <c r="C50" s="43" t="s">
        <v>212</v>
      </c>
      <c r="D50" s="43" t="s">
        <v>168</v>
      </c>
      <c r="E50" s="43" t="s">
        <v>166</v>
      </c>
      <c r="F50" s="43" t="s">
        <v>169</v>
      </c>
      <c r="G50" s="43">
        <v>2387</v>
      </c>
      <c r="H50" s="43">
        <v>954.8</v>
      </c>
      <c r="I50" s="43">
        <f>YEAR(tbl_dashboard[[#This Row],[Fecha]])</f>
        <v>2021</v>
      </c>
      <c r="J50" s="43" t="str">
        <f>TEXT(tbl_dashboard[[#This Row],[Fecha]],"mmmm")</f>
        <v>Enero</v>
      </c>
      <c r="K50" s="43">
        <f>WEEKNUM(tbl_dashboard[[#This Row],[Fecha]],2)</f>
        <v>5</v>
      </c>
      <c r="U50"/>
      <c r="V50"/>
      <c r="W50"/>
      <c r="X50"/>
      <c r="Y50"/>
    </row>
    <row r="51" spans="2:25" ht="14.4" x14ac:dyDescent="0.3">
      <c r="B51" s="75">
        <v>44222</v>
      </c>
      <c r="C51" s="43" t="s">
        <v>213</v>
      </c>
      <c r="D51" s="43" t="s">
        <v>161</v>
      </c>
      <c r="E51" s="43" t="s">
        <v>162</v>
      </c>
      <c r="F51" s="43" t="s">
        <v>163</v>
      </c>
      <c r="G51" s="43">
        <v>7916</v>
      </c>
      <c r="H51" s="43">
        <v>1820.68</v>
      </c>
      <c r="I51" s="43">
        <f>YEAR(tbl_dashboard[[#This Row],[Fecha]])</f>
        <v>2021</v>
      </c>
      <c r="J51" s="43" t="str">
        <f>TEXT(tbl_dashboard[[#This Row],[Fecha]],"mmmm")</f>
        <v>Enero</v>
      </c>
      <c r="K51" s="43">
        <f>WEEKNUM(tbl_dashboard[[#This Row],[Fecha]],2)</f>
        <v>5</v>
      </c>
      <c r="U51"/>
      <c r="V51"/>
      <c r="W51"/>
      <c r="X51"/>
      <c r="Y51"/>
    </row>
    <row r="52" spans="2:25" ht="14.4" x14ac:dyDescent="0.3">
      <c r="B52" s="75">
        <v>44221</v>
      </c>
      <c r="C52" s="43" t="s">
        <v>214</v>
      </c>
      <c r="D52" s="43" t="s">
        <v>165</v>
      </c>
      <c r="E52" s="43" t="s">
        <v>166</v>
      </c>
      <c r="F52" s="43" t="s">
        <v>169</v>
      </c>
      <c r="G52" s="43">
        <v>7672</v>
      </c>
      <c r="H52" s="43">
        <v>1611.12</v>
      </c>
      <c r="I52" s="43">
        <f>YEAR(tbl_dashboard[[#This Row],[Fecha]])</f>
        <v>2021</v>
      </c>
      <c r="J52" s="43" t="str">
        <f>TEXT(tbl_dashboard[[#This Row],[Fecha]],"mmmm")</f>
        <v>Enero</v>
      </c>
      <c r="K52" s="43">
        <f>WEEKNUM(tbl_dashboard[[#This Row],[Fecha]],2)</f>
        <v>5</v>
      </c>
      <c r="U52"/>
      <c r="V52"/>
      <c r="W52"/>
      <c r="X52"/>
      <c r="Y52"/>
    </row>
    <row r="53" spans="2:25" x14ac:dyDescent="0.2">
      <c r="B53" s="75">
        <v>44221</v>
      </c>
      <c r="C53" s="43" t="s">
        <v>215</v>
      </c>
      <c r="D53" s="43" t="s">
        <v>168</v>
      </c>
      <c r="E53" s="43" t="s">
        <v>162</v>
      </c>
      <c r="F53" s="43" t="s">
        <v>169</v>
      </c>
      <c r="G53" s="43">
        <v>7265</v>
      </c>
      <c r="H53" s="43">
        <v>2688.05</v>
      </c>
      <c r="I53" s="43">
        <f>YEAR(tbl_dashboard[[#This Row],[Fecha]])</f>
        <v>2021</v>
      </c>
      <c r="J53" s="43" t="str">
        <f>TEXT(tbl_dashboard[[#This Row],[Fecha]],"mmmm")</f>
        <v>Enero</v>
      </c>
      <c r="K53" s="43">
        <f>WEEKNUM(tbl_dashboard[[#This Row],[Fecha]],2)</f>
        <v>5</v>
      </c>
    </row>
    <row r="54" spans="2:25" x14ac:dyDescent="0.2">
      <c r="B54" s="75">
        <v>44221</v>
      </c>
      <c r="C54" s="43" t="s">
        <v>216</v>
      </c>
      <c r="D54" s="43" t="s">
        <v>165</v>
      </c>
      <c r="E54" s="43" t="s">
        <v>162</v>
      </c>
      <c r="F54" s="43" t="s">
        <v>169</v>
      </c>
      <c r="G54" s="43">
        <v>10729</v>
      </c>
      <c r="H54" s="43">
        <v>4077.02</v>
      </c>
      <c r="I54" s="43">
        <f>YEAR(tbl_dashboard[[#This Row],[Fecha]])</f>
        <v>2021</v>
      </c>
      <c r="J54" s="43" t="str">
        <f>TEXT(tbl_dashboard[[#This Row],[Fecha]],"mmmm")</f>
        <v>Enero</v>
      </c>
      <c r="K54" s="43">
        <f>WEEKNUM(tbl_dashboard[[#This Row],[Fecha]],2)</f>
        <v>5</v>
      </c>
    </row>
    <row r="55" spans="2:25" x14ac:dyDescent="0.2">
      <c r="B55" s="75">
        <v>44221</v>
      </c>
      <c r="C55" s="43" t="s">
        <v>217</v>
      </c>
      <c r="D55" s="43" t="s">
        <v>165</v>
      </c>
      <c r="E55" s="43" t="s">
        <v>162</v>
      </c>
      <c r="F55" s="43" t="s">
        <v>169</v>
      </c>
      <c r="G55" s="43">
        <v>3498</v>
      </c>
      <c r="H55" s="43">
        <v>1014.42</v>
      </c>
      <c r="I55" s="43">
        <f>YEAR(tbl_dashboard[[#This Row],[Fecha]])</f>
        <v>2021</v>
      </c>
      <c r="J55" s="43" t="str">
        <f>TEXT(tbl_dashboard[[#This Row],[Fecha]],"mmmm")</f>
        <v>Enero</v>
      </c>
      <c r="K55" s="43">
        <f>WEEKNUM(tbl_dashboard[[#This Row],[Fecha]],2)</f>
        <v>5</v>
      </c>
    </row>
    <row r="56" spans="2:25" x14ac:dyDescent="0.2">
      <c r="B56" s="75">
        <v>44251</v>
      </c>
      <c r="C56" s="43" t="s">
        <v>160</v>
      </c>
      <c r="D56" s="43" t="s">
        <v>165</v>
      </c>
      <c r="E56" s="43" t="s">
        <v>166</v>
      </c>
      <c r="F56" s="43" t="s">
        <v>169</v>
      </c>
      <c r="G56" s="43">
        <v>2602</v>
      </c>
      <c r="H56" s="43">
        <v>702.54</v>
      </c>
      <c r="I56" s="43">
        <f>YEAR(tbl_dashboard[[#This Row],[Fecha]])</f>
        <v>2021</v>
      </c>
      <c r="J56" s="43" t="str">
        <f>TEXT(tbl_dashboard[[#This Row],[Fecha]],"mmmm")</f>
        <v>Febrero</v>
      </c>
      <c r="K56" s="43">
        <f>WEEKNUM(tbl_dashboard[[#This Row],[Fecha]],2)</f>
        <v>9</v>
      </c>
    </row>
    <row r="57" spans="2:25" x14ac:dyDescent="0.2">
      <c r="B57" s="75">
        <v>44251</v>
      </c>
      <c r="C57" s="43" t="s">
        <v>164</v>
      </c>
      <c r="D57" s="43" t="s">
        <v>161</v>
      </c>
      <c r="E57" s="43" t="s">
        <v>166</v>
      </c>
      <c r="F57" s="43" t="s">
        <v>163</v>
      </c>
      <c r="G57" s="43">
        <v>9567</v>
      </c>
      <c r="H57" s="43">
        <v>3348.45</v>
      </c>
      <c r="I57" s="43">
        <f>YEAR(tbl_dashboard[[#This Row],[Fecha]])</f>
        <v>2021</v>
      </c>
      <c r="J57" s="43" t="str">
        <f>TEXT(tbl_dashboard[[#This Row],[Fecha]],"mmmm")</f>
        <v>Febrero</v>
      </c>
      <c r="K57" s="43">
        <f>WEEKNUM(tbl_dashboard[[#This Row],[Fecha]],2)</f>
        <v>9</v>
      </c>
    </row>
    <row r="58" spans="2:25" x14ac:dyDescent="0.2">
      <c r="B58" s="75">
        <v>44251</v>
      </c>
      <c r="C58" s="43" t="s">
        <v>167</v>
      </c>
      <c r="D58" s="43" t="s">
        <v>165</v>
      </c>
      <c r="E58" s="43" t="s">
        <v>162</v>
      </c>
      <c r="F58" s="43" t="s">
        <v>163</v>
      </c>
      <c r="G58" s="43">
        <v>10610</v>
      </c>
      <c r="H58" s="43">
        <v>1591.5</v>
      </c>
      <c r="I58" s="43">
        <f>YEAR(tbl_dashboard[[#This Row],[Fecha]])</f>
        <v>2021</v>
      </c>
      <c r="J58" s="43" t="str">
        <f>TEXT(tbl_dashboard[[#This Row],[Fecha]],"mmmm")</f>
        <v>Febrero</v>
      </c>
      <c r="K58" s="43">
        <f>WEEKNUM(tbl_dashboard[[#This Row],[Fecha]],2)</f>
        <v>9</v>
      </c>
    </row>
    <row r="59" spans="2:25" x14ac:dyDescent="0.2">
      <c r="B59" s="75">
        <v>44251</v>
      </c>
      <c r="C59" s="43" t="s">
        <v>170</v>
      </c>
      <c r="D59" s="43" t="s">
        <v>168</v>
      </c>
      <c r="E59" s="43" t="s">
        <v>166</v>
      </c>
      <c r="F59" s="43" t="s">
        <v>169</v>
      </c>
      <c r="G59" s="43">
        <v>10303</v>
      </c>
      <c r="H59" s="43">
        <v>4636.3500000000004</v>
      </c>
      <c r="I59" s="43">
        <f>YEAR(tbl_dashboard[[#This Row],[Fecha]])</f>
        <v>2021</v>
      </c>
      <c r="J59" s="43" t="str">
        <f>TEXT(tbl_dashboard[[#This Row],[Fecha]],"mmmm")</f>
        <v>Febrero</v>
      </c>
      <c r="K59" s="43">
        <f>WEEKNUM(tbl_dashboard[[#This Row],[Fecha]],2)</f>
        <v>9</v>
      </c>
    </row>
    <row r="60" spans="2:25" x14ac:dyDescent="0.2">
      <c r="B60" s="75">
        <v>44251</v>
      </c>
      <c r="C60" s="43" t="s">
        <v>171</v>
      </c>
      <c r="D60" s="43" t="s">
        <v>161</v>
      </c>
      <c r="E60" s="43" t="s">
        <v>166</v>
      </c>
      <c r="F60" s="43" t="s">
        <v>169</v>
      </c>
      <c r="G60" s="43">
        <v>9287</v>
      </c>
      <c r="H60" s="43">
        <v>3529.06</v>
      </c>
      <c r="I60" s="43">
        <f>YEAR(tbl_dashboard[[#This Row],[Fecha]])</f>
        <v>2021</v>
      </c>
      <c r="J60" s="43" t="str">
        <f>TEXT(tbl_dashboard[[#This Row],[Fecha]],"mmmm")</f>
        <v>Febrero</v>
      </c>
      <c r="K60" s="43">
        <f>WEEKNUM(tbl_dashboard[[#This Row],[Fecha]],2)</f>
        <v>9</v>
      </c>
    </row>
    <row r="61" spans="2:25" x14ac:dyDescent="0.2">
      <c r="B61" s="75">
        <v>44251</v>
      </c>
      <c r="C61" s="43" t="s">
        <v>172</v>
      </c>
      <c r="D61" s="43" t="s">
        <v>165</v>
      </c>
      <c r="E61" s="43" t="s">
        <v>166</v>
      </c>
      <c r="F61" s="43" t="s">
        <v>163</v>
      </c>
      <c r="G61" s="43">
        <v>10734</v>
      </c>
      <c r="H61" s="43">
        <v>1610.1</v>
      </c>
      <c r="I61" s="43">
        <f>YEAR(tbl_dashboard[[#This Row],[Fecha]])</f>
        <v>2021</v>
      </c>
      <c r="J61" s="43" t="str">
        <f>TEXT(tbl_dashboard[[#This Row],[Fecha]],"mmmm")</f>
        <v>Febrero</v>
      </c>
      <c r="K61" s="43">
        <f>WEEKNUM(tbl_dashboard[[#This Row],[Fecha]],2)</f>
        <v>9</v>
      </c>
    </row>
    <row r="62" spans="2:25" x14ac:dyDescent="0.2">
      <c r="B62" s="75">
        <v>44251</v>
      </c>
      <c r="C62" s="43" t="s">
        <v>173</v>
      </c>
      <c r="D62" s="43" t="s">
        <v>168</v>
      </c>
      <c r="E62" s="43" t="s">
        <v>162</v>
      </c>
      <c r="F62" s="43" t="s">
        <v>163</v>
      </c>
      <c r="G62" s="43">
        <v>11053</v>
      </c>
      <c r="H62" s="43">
        <v>2210.6</v>
      </c>
      <c r="I62" s="43">
        <f>YEAR(tbl_dashboard[[#This Row],[Fecha]])</f>
        <v>2021</v>
      </c>
      <c r="J62" s="43" t="str">
        <f>TEXT(tbl_dashboard[[#This Row],[Fecha]],"mmmm")</f>
        <v>Febrero</v>
      </c>
      <c r="K62" s="43">
        <f>WEEKNUM(tbl_dashboard[[#This Row],[Fecha]],2)</f>
        <v>9</v>
      </c>
    </row>
    <row r="63" spans="2:25" x14ac:dyDescent="0.2">
      <c r="B63" s="75">
        <v>44251</v>
      </c>
      <c r="C63" s="43" t="s">
        <v>174</v>
      </c>
      <c r="D63" s="43" t="s">
        <v>168</v>
      </c>
      <c r="E63" s="43" t="s">
        <v>162</v>
      </c>
      <c r="F63" s="43" t="s">
        <v>169</v>
      </c>
      <c r="G63" s="43">
        <v>11900</v>
      </c>
      <c r="H63" s="43">
        <v>2261</v>
      </c>
      <c r="I63" s="43">
        <f>YEAR(tbl_dashboard[[#This Row],[Fecha]])</f>
        <v>2021</v>
      </c>
      <c r="J63" s="43" t="str">
        <f>TEXT(tbl_dashboard[[#This Row],[Fecha]],"mmmm")</f>
        <v>Febrero</v>
      </c>
      <c r="K63" s="43">
        <f>WEEKNUM(tbl_dashboard[[#This Row],[Fecha]],2)</f>
        <v>9</v>
      </c>
    </row>
    <row r="64" spans="2:25" x14ac:dyDescent="0.2">
      <c r="B64" s="75">
        <v>44251</v>
      </c>
      <c r="C64" s="43" t="s">
        <v>175</v>
      </c>
      <c r="D64" s="43" t="s">
        <v>165</v>
      </c>
      <c r="E64" s="43" t="s">
        <v>166</v>
      </c>
      <c r="F64" s="43" t="s">
        <v>163</v>
      </c>
      <c r="G64" s="43">
        <v>7909</v>
      </c>
      <c r="H64" s="43">
        <v>1898.16</v>
      </c>
      <c r="I64" s="43">
        <f>YEAR(tbl_dashboard[[#This Row],[Fecha]])</f>
        <v>2021</v>
      </c>
      <c r="J64" s="43" t="str">
        <f>TEXT(tbl_dashboard[[#This Row],[Fecha]],"mmmm")</f>
        <v>Febrero</v>
      </c>
      <c r="K64" s="43">
        <f>WEEKNUM(tbl_dashboard[[#This Row],[Fecha]],2)</f>
        <v>9</v>
      </c>
    </row>
    <row r="65" spans="2:11" x14ac:dyDescent="0.2">
      <c r="B65" s="75">
        <v>44251</v>
      </c>
      <c r="C65" s="43" t="s">
        <v>176</v>
      </c>
      <c r="D65" s="43" t="s">
        <v>165</v>
      </c>
      <c r="E65" s="43" t="s">
        <v>166</v>
      </c>
      <c r="F65" s="43" t="s">
        <v>169</v>
      </c>
      <c r="G65" s="43">
        <v>1468</v>
      </c>
      <c r="H65" s="43">
        <v>528.48</v>
      </c>
      <c r="I65" s="43">
        <f>YEAR(tbl_dashboard[[#This Row],[Fecha]])</f>
        <v>2021</v>
      </c>
      <c r="J65" s="43" t="str">
        <f>TEXT(tbl_dashboard[[#This Row],[Fecha]],"mmmm")</f>
        <v>Febrero</v>
      </c>
      <c r="K65" s="43">
        <f>WEEKNUM(tbl_dashboard[[#This Row],[Fecha]],2)</f>
        <v>9</v>
      </c>
    </row>
    <row r="66" spans="2:11" x14ac:dyDescent="0.2">
      <c r="B66" s="75">
        <v>44251</v>
      </c>
      <c r="C66" s="43" t="s">
        <v>177</v>
      </c>
      <c r="D66" s="43" t="s">
        <v>165</v>
      </c>
      <c r="E66" s="43" t="s">
        <v>162</v>
      </c>
      <c r="F66" s="43" t="s">
        <v>169</v>
      </c>
      <c r="G66" s="43">
        <v>1782</v>
      </c>
      <c r="H66" s="43">
        <v>392.04</v>
      </c>
      <c r="I66" s="43">
        <f>YEAR(tbl_dashboard[[#This Row],[Fecha]])</f>
        <v>2021</v>
      </c>
      <c r="J66" s="43" t="str">
        <f>TEXT(tbl_dashboard[[#This Row],[Fecha]],"mmmm")</f>
        <v>Febrero</v>
      </c>
      <c r="K66" s="43">
        <f>WEEKNUM(tbl_dashboard[[#This Row],[Fecha]],2)</f>
        <v>9</v>
      </c>
    </row>
    <row r="67" spans="2:11" x14ac:dyDescent="0.2">
      <c r="B67" s="75">
        <v>44251</v>
      </c>
      <c r="C67" s="43" t="s">
        <v>178</v>
      </c>
      <c r="D67" s="43" t="s">
        <v>161</v>
      </c>
      <c r="E67" s="43" t="s">
        <v>162</v>
      </c>
      <c r="F67" s="43" t="s">
        <v>169</v>
      </c>
      <c r="G67" s="43">
        <v>8014</v>
      </c>
      <c r="H67" s="43">
        <v>1362.38</v>
      </c>
      <c r="I67" s="43">
        <f>YEAR(tbl_dashboard[[#This Row],[Fecha]])</f>
        <v>2021</v>
      </c>
      <c r="J67" s="43" t="str">
        <f>TEXT(tbl_dashboard[[#This Row],[Fecha]],"mmmm")</f>
        <v>Febrero</v>
      </c>
      <c r="K67" s="43">
        <f>WEEKNUM(tbl_dashboard[[#This Row],[Fecha]],2)</f>
        <v>9</v>
      </c>
    </row>
    <row r="68" spans="2:11" x14ac:dyDescent="0.2">
      <c r="B68" s="75">
        <v>44251</v>
      </c>
      <c r="C68" s="43" t="s">
        <v>179</v>
      </c>
      <c r="D68" s="43" t="s">
        <v>165</v>
      </c>
      <c r="E68" s="43" t="s">
        <v>162</v>
      </c>
      <c r="F68" s="43" t="s">
        <v>169</v>
      </c>
      <c r="G68" s="43">
        <v>10593</v>
      </c>
      <c r="H68" s="43">
        <v>4237.2</v>
      </c>
      <c r="I68" s="43">
        <f>YEAR(tbl_dashboard[[#This Row],[Fecha]])</f>
        <v>2021</v>
      </c>
      <c r="J68" s="43" t="str">
        <f>TEXT(tbl_dashboard[[#This Row],[Fecha]],"mmmm")</f>
        <v>Febrero</v>
      </c>
      <c r="K68" s="43">
        <f>WEEKNUM(tbl_dashboard[[#This Row],[Fecha]],2)</f>
        <v>9</v>
      </c>
    </row>
    <row r="69" spans="2:11" x14ac:dyDescent="0.2">
      <c r="B69" s="75">
        <v>44251</v>
      </c>
      <c r="C69" s="43" t="s">
        <v>180</v>
      </c>
      <c r="D69" s="43" t="s">
        <v>165</v>
      </c>
      <c r="E69" s="43" t="s">
        <v>162</v>
      </c>
      <c r="F69" s="43" t="s">
        <v>169</v>
      </c>
      <c r="G69" s="43">
        <v>6084</v>
      </c>
      <c r="H69" s="43">
        <v>1095.1199999999999</v>
      </c>
      <c r="I69" s="43">
        <f>YEAR(tbl_dashboard[[#This Row],[Fecha]])</f>
        <v>2021</v>
      </c>
      <c r="J69" s="43" t="str">
        <f>TEXT(tbl_dashboard[[#This Row],[Fecha]],"mmmm")</f>
        <v>Febrero</v>
      </c>
      <c r="K69" s="43">
        <f>WEEKNUM(tbl_dashboard[[#This Row],[Fecha]],2)</f>
        <v>9</v>
      </c>
    </row>
    <row r="70" spans="2:11" x14ac:dyDescent="0.2">
      <c r="B70" s="75">
        <v>44251</v>
      </c>
      <c r="C70" s="43" t="s">
        <v>181</v>
      </c>
      <c r="D70" s="43" t="s">
        <v>168</v>
      </c>
      <c r="E70" s="43" t="s">
        <v>162</v>
      </c>
      <c r="F70" s="43" t="s">
        <v>163</v>
      </c>
      <c r="G70" s="43">
        <v>2524</v>
      </c>
      <c r="H70" s="43">
        <v>631</v>
      </c>
      <c r="I70" s="43">
        <f>YEAR(tbl_dashboard[[#This Row],[Fecha]])</f>
        <v>2021</v>
      </c>
      <c r="J70" s="43" t="str">
        <f>TEXT(tbl_dashboard[[#This Row],[Fecha]],"mmmm")</f>
        <v>Febrero</v>
      </c>
      <c r="K70" s="43">
        <f>WEEKNUM(tbl_dashboard[[#This Row],[Fecha]],2)</f>
        <v>9</v>
      </c>
    </row>
    <row r="71" spans="2:11" x14ac:dyDescent="0.2">
      <c r="B71" s="75">
        <v>44251</v>
      </c>
      <c r="C71" s="43" t="s">
        <v>182</v>
      </c>
      <c r="D71" s="43" t="s">
        <v>165</v>
      </c>
      <c r="E71" s="43" t="s">
        <v>166</v>
      </c>
      <c r="F71" s="43" t="s">
        <v>163</v>
      </c>
      <c r="G71" s="43">
        <v>4704</v>
      </c>
      <c r="H71" s="43">
        <v>1552.32</v>
      </c>
      <c r="I71" s="43">
        <f>YEAR(tbl_dashboard[[#This Row],[Fecha]])</f>
        <v>2021</v>
      </c>
      <c r="J71" s="43" t="str">
        <f>TEXT(tbl_dashboard[[#This Row],[Fecha]],"mmmm")</f>
        <v>Febrero</v>
      </c>
      <c r="K71" s="43">
        <f>WEEKNUM(tbl_dashboard[[#This Row],[Fecha]],2)</f>
        <v>9</v>
      </c>
    </row>
    <row r="72" spans="2:11" x14ac:dyDescent="0.2">
      <c r="B72" s="75">
        <v>44251</v>
      </c>
      <c r="C72" s="43" t="s">
        <v>183</v>
      </c>
      <c r="D72" s="43" t="s">
        <v>161</v>
      </c>
      <c r="E72" s="43" t="s">
        <v>162</v>
      </c>
      <c r="F72" s="43" t="s">
        <v>169</v>
      </c>
      <c r="G72" s="43">
        <v>4705</v>
      </c>
      <c r="H72" s="43">
        <v>1223.3</v>
      </c>
      <c r="I72" s="43">
        <f>YEAR(tbl_dashboard[[#This Row],[Fecha]])</f>
        <v>2021</v>
      </c>
      <c r="J72" s="43" t="str">
        <f>TEXT(tbl_dashboard[[#This Row],[Fecha]],"mmmm")</f>
        <v>Febrero</v>
      </c>
      <c r="K72" s="43">
        <f>WEEKNUM(tbl_dashboard[[#This Row],[Fecha]],2)</f>
        <v>9</v>
      </c>
    </row>
    <row r="73" spans="2:11" x14ac:dyDescent="0.2">
      <c r="B73" s="75">
        <v>44251</v>
      </c>
      <c r="C73" s="43" t="s">
        <v>184</v>
      </c>
      <c r="D73" s="43" t="s">
        <v>161</v>
      </c>
      <c r="E73" s="43" t="s">
        <v>162</v>
      </c>
      <c r="F73" s="43" t="s">
        <v>169</v>
      </c>
      <c r="G73" s="43">
        <v>1344</v>
      </c>
      <c r="H73" s="43">
        <v>268.8</v>
      </c>
      <c r="I73" s="43">
        <f>YEAR(tbl_dashboard[[#This Row],[Fecha]])</f>
        <v>2021</v>
      </c>
      <c r="J73" s="43" t="str">
        <f>TEXT(tbl_dashboard[[#This Row],[Fecha]],"mmmm")</f>
        <v>Febrero</v>
      </c>
      <c r="K73" s="43">
        <f>WEEKNUM(tbl_dashboard[[#This Row],[Fecha]],2)</f>
        <v>9</v>
      </c>
    </row>
    <row r="74" spans="2:11" x14ac:dyDescent="0.2">
      <c r="B74" s="75">
        <v>44251</v>
      </c>
      <c r="C74" s="43" t="s">
        <v>185</v>
      </c>
      <c r="D74" s="43" t="s">
        <v>161</v>
      </c>
      <c r="E74" s="43" t="s">
        <v>166</v>
      </c>
      <c r="F74" s="43" t="s">
        <v>163</v>
      </c>
      <c r="G74" s="43">
        <v>8373</v>
      </c>
      <c r="H74" s="43">
        <v>2763.09</v>
      </c>
      <c r="I74" s="43">
        <f>YEAR(tbl_dashboard[[#This Row],[Fecha]])</f>
        <v>2021</v>
      </c>
      <c r="J74" s="43" t="str">
        <f>TEXT(tbl_dashboard[[#This Row],[Fecha]],"mmmm")</f>
        <v>Febrero</v>
      </c>
      <c r="K74" s="43">
        <f>WEEKNUM(tbl_dashboard[[#This Row],[Fecha]],2)</f>
        <v>9</v>
      </c>
    </row>
    <row r="75" spans="2:11" x14ac:dyDescent="0.2">
      <c r="B75" s="75">
        <v>44251</v>
      </c>
      <c r="C75" s="43" t="s">
        <v>186</v>
      </c>
      <c r="D75" s="43" t="s">
        <v>168</v>
      </c>
      <c r="E75" s="43" t="s">
        <v>162</v>
      </c>
      <c r="F75" s="43" t="s">
        <v>163</v>
      </c>
      <c r="G75" s="43">
        <v>8725</v>
      </c>
      <c r="H75" s="43">
        <v>3926.25</v>
      </c>
      <c r="I75" s="43">
        <f>YEAR(tbl_dashboard[[#This Row],[Fecha]])</f>
        <v>2021</v>
      </c>
      <c r="J75" s="43" t="str">
        <f>TEXT(tbl_dashboard[[#This Row],[Fecha]],"mmmm")</f>
        <v>Febrero</v>
      </c>
      <c r="K75" s="43">
        <f>WEEKNUM(tbl_dashboard[[#This Row],[Fecha]],2)</f>
        <v>9</v>
      </c>
    </row>
    <row r="76" spans="2:11" x14ac:dyDescent="0.2">
      <c r="B76" s="75">
        <v>44251</v>
      </c>
      <c r="C76" s="43" t="s">
        <v>187</v>
      </c>
      <c r="D76" s="43" t="s">
        <v>161</v>
      </c>
      <c r="E76" s="43" t="s">
        <v>166</v>
      </c>
      <c r="F76" s="43" t="s">
        <v>169</v>
      </c>
      <c r="G76" s="43">
        <v>2271</v>
      </c>
      <c r="H76" s="43">
        <v>704.01</v>
      </c>
      <c r="I76" s="43">
        <f>YEAR(tbl_dashboard[[#This Row],[Fecha]])</f>
        <v>2021</v>
      </c>
      <c r="J76" s="43" t="str">
        <f>TEXT(tbl_dashboard[[#This Row],[Fecha]],"mmmm")</f>
        <v>Febrero</v>
      </c>
      <c r="K76" s="43">
        <f>WEEKNUM(tbl_dashboard[[#This Row],[Fecha]],2)</f>
        <v>9</v>
      </c>
    </row>
    <row r="77" spans="2:11" x14ac:dyDescent="0.2">
      <c r="B77" s="75">
        <v>44251</v>
      </c>
      <c r="C77" s="43" t="s">
        <v>188</v>
      </c>
      <c r="D77" s="43" t="s">
        <v>161</v>
      </c>
      <c r="E77" s="43" t="s">
        <v>162</v>
      </c>
      <c r="F77" s="43" t="s">
        <v>163</v>
      </c>
      <c r="G77" s="43">
        <v>2395</v>
      </c>
      <c r="H77" s="43">
        <v>407.15</v>
      </c>
      <c r="I77" s="43">
        <f>YEAR(tbl_dashboard[[#This Row],[Fecha]])</f>
        <v>2021</v>
      </c>
      <c r="J77" s="43" t="str">
        <f>TEXT(tbl_dashboard[[#This Row],[Fecha]],"mmmm")</f>
        <v>Febrero</v>
      </c>
      <c r="K77" s="43">
        <f>WEEKNUM(tbl_dashboard[[#This Row],[Fecha]],2)</f>
        <v>9</v>
      </c>
    </row>
    <row r="78" spans="2:11" x14ac:dyDescent="0.2">
      <c r="B78" s="75">
        <v>44251</v>
      </c>
      <c r="C78" s="43" t="s">
        <v>189</v>
      </c>
      <c r="D78" s="43" t="s">
        <v>168</v>
      </c>
      <c r="E78" s="43" t="s">
        <v>162</v>
      </c>
      <c r="F78" s="43" t="s">
        <v>169</v>
      </c>
      <c r="G78" s="43">
        <v>2923</v>
      </c>
      <c r="H78" s="43">
        <v>964.59</v>
      </c>
      <c r="I78" s="43">
        <f>YEAR(tbl_dashboard[[#This Row],[Fecha]])</f>
        <v>2021</v>
      </c>
      <c r="J78" s="43" t="str">
        <f>TEXT(tbl_dashboard[[#This Row],[Fecha]],"mmmm")</f>
        <v>Febrero</v>
      </c>
      <c r="K78" s="43">
        <f>WEEKNUM(tbl_dashboard[[#This Row],[Fecha]],2)</f>
        <v>9</v>
      </c>
    </row>
    <row r="79" spans="2:11" x14ac:dyDescent="0.2">
      <c r="B79" s="75">
        <v>44251</v>
      </c>
      <c r="C79" s="43" t="s">
        <v>190</v>
      </c>
      <c r="D79" s="43" t="s">
        <v>161</v>
      </c>
      <c r="E79" s="43" t="s">
        <v>162</v>
      </c>
      <c r="F79" s="43" t="s">
        <v>169</v>
      </c>
      <c r="G79" s="43">
        <v>9310</v>
      </c>
      <c r="H79" s="43">
        <v>2513.6999999999998</v>
      </c>
      <c r="I79" s="43">
        <f>YEAR(tbl_dashboard[[#This Row],[Fecha]])</f>
        <v>2021</v>
      </c>
      <c r="J79" s="43" t="str">
        <f>TEXT(tbl_dashboard[[#This Row],[Fecha]],"mmmm")</f>
        <v>Febrero</v>
      </c>
      <c r="K79" s="43">
        <f>WEEKNUM(tbl_dashboard[[#This Row],[Fecha]],2)</f>
        <v>9</v>
      </c>
    </row>
    <row r="80" spans="2:11" x14ac:dyDescent="0.2">
      <c r="B80" s="75">
        <v>44251</v>
      </c>
      <c r="C80" s="43" t="s">
        <v>191</v>
      </c>
      <c r="D80" s="43" t="s">
        <v>168</v>
      </c>
      <c r="E80" s="43" t="s">
        <v>162</v>
      </c>
      <c r="F80" s="43" t="s">
        <v>169</v>
      </c>
      <c r="G80" s="43">
        <v>3711</v>
      </c>
      <c r="H80" s="43">
        <v>1187.52</v>
      </c>
      <c r="I80" s="43">
        <f>YEAR(tbl_dashboard[[#This Row],[Fecha]])</f>
        <v>2021</v>
      </c>
      <c r="J80" s="43" t="str">
        <f>TEXT(tbl_dashboard[[#This Row],[Fecha]],"mmmm")</f>
        <v>Febrero</v>
      </c>
      <c r="K80" s="43">
        <f>WEEKNUM(tbl_dashboard[[#This Row],[Fecha]],2)</f>
        <v>9</v>
      </c>
    </row>
    <row r="81" spans="2:11" x14ac:dyDescent="0.2">
      <c r="B81" s="75">
        <v>44251</v>
      </c>
      <c r="C81" s="43" t="s">
        <v>192</v>
      </c>
      <c r="D81" s="43" t="s">
        <v>168</v>
      </c>
      <c r="E81" s="43" t="s">
        <v>166</v>
      </c>
      <c r="F81" s="43" t="s">
        <v>169</v>
      </c>
      <c r="G81" s="43">
        <v>3495</v>
      </c>
      <c r="H81" s="43">
        <v>1398</v>
      </c>
      <c r="I81" s="43">
        <f>YEAR(tbl_dashboard[[#This Row],[Fecha]])</f>
        <v>2021</v>
      </c>
      <c r="J81" s="43" t="str">
        <f>TEXT(tbl_dashboard[[#This Row],[Fecha]],"mmmm")</f>
        <v>Febrero</v>
      </c>
      <c r="K81" s="43">
        <f>WEEKNUM(tbl_dashboard[[#This Row],[Fecha]],2)</f>
        <v>9</v>
      </c>
    </row>
    <row r="82" spans="2:11" x14ac:dyDescent="0.2">
      <c r="B82" s="75">
        <v>44251</v>
      </c>
      <c r="C82" s="43" t="s">
        <v>193</v>
      </c>
      <c r="D82" s="43" t="s">
        <v>168</v>
      </c>
      <c r="E82" s="43" t="s">
        <v>162</v>
      </c>
      <c r="F82" s="43" t="s">
        <v>169</v>
      </c>
      <c r="G82" s="43">
        <v>3336</v>
      </c>
      <c r="H82" s="43">
        <v>1301.04</v>
      </c>
      <c r="I82" s="43">
        <f>YEAR(tbl_dashboard[[#This Row],[Fecha]])</f>
        <v>2021</v>
      </c>
      <c r="J82" s="43" t="str">
        <f>TEXT(tbl_dashboard[[#This Row],[Fecha]],"mmmm")</f>
        <v>Febrero</v>
      </c>
      <c r="K82" s="43">
        <f>WEEKNUM(tbl_dashboard[[#This Row],[Fecha]],2)</f>
        <v>9</v>
      </c>
    </row>
    <row r="83" spans="2:11" x14ac:dyDescent="0.2">
      <c r="B83" s="75">
        <v>44251</v>
      </c>
      <c r="C83" s="43" t="s">
        <v>194</v>
      </c>
      <c r="D83" s="43" t="s">
        <v>168</v>
      </c>
      <c r="E83" s="43" t="s">
        <v>166</v>
      </c>
      <c r="F83" s="43" t="s">
        <v>163</v>
      </c>
      <c r="G83" s="43">
        <v>1168</v>
      </c>
      <c r="H83" s="43">
        <v>490.56</v>
      </c>
      <c r="I83" s="43">
        <f>YEAR(tbl_dashboard[[#This Row],[Fecha]])</f>
        <v>2021</v>
      </c>
      <c r="J83" s="43" t="str">
        <f>TEXT(tbl_dashboard[[#This Row],[Fecha]],"mmmm")</f>
        <v>Febrero</v>
      </c>
      <c r="K83" s="43">
        <f>WEEKNUM(tbl_dashboard[[#This Row],[Fecha]],2)</f>
        <v>9</v>
      </c>
    </row>
    <row r="84" spans="2:11" x14ac:dyDescent="0.2">
      <c r="B84" s="75">
        <v>44251</v>
      </c>
      <c r="C84" s="43" t="s">
        <v>195</v>
      </c>
      <c r="D84" s="43" t="s">
        <v>165</v>
      </c>
      <c r="E84" s="43" t="s">
        <v>162</v>
      </c>
      <c r="F84" s="43" t="s">
        <v>163</v>
      </c>
      <c r="G84" s="43">
        <v>1490</v>
      </c>
      <c r="H84" s="43">
        <v>655.6</v>
      </c>
      <c r="I84" s="43">
        <f>YEAR(tbl_dashboard[[#This Row],[Fecha]])</f>
        <v>2021</v>
      </c>
      <c r="J84" s="43" t="str">
        <f>TEXT(tbl_dashboard[[#This Row],[Fecha]],"mmmm")</f>
        <v>Febrero</v>
      </c>
      <c r="K84" s="43">
        <f>WEEKNUM(tbl_dashboard[[#This Row],[Fecha]],2)</f>
        <v>9</v>
      </c>
    </row>
    <row r="85" spans="2:11" x14ac:dyDescent="0.2">
      <c r="B85" s="75">
        <v>44251</v>
      </c>
      <c r="C85" s="43" t="s">
        <v>196</v>
      </c>
      <c r="D85" s="43" t="s">
        <v>168</v>
      </c>
      <c r="E85" s="43" t="s">
        <v>166</v>
      </c>
      <c r="F85" s="43" t="s">
        <v>169</v>
      </c>
      <c r="G85" s="43">
        <v>4726</v>
      </c>
      <c r="H85" s="43">
        <v>756.16</v>
      </c>
      <c r="I85" s="43">
        <f>YEAR(tbl_dashboard[[#This Row],[Fecha]])</f>
        <v>2021</v>
      </c>
      <c r="J85" s="43" t="str">
        <f>TEXT(tbl_dashboard[[#This Row],[Fecha]],"mmmm")</f>
        <v>Febrero</v>
      </c>
      <c r="K85" s="43">
        <f>WEEKNUM(tbl_dashboard[[#This Row],[Fecha]],2)</f>
        <v>9</v>
      </c>
    </row>
    <row r="86" spans="2:11" x14ac:dyDescent="0.2">
      <c r="B86" s="75">
        <v>44251</v>
      </c>
      <c r="C86" s="43" t="s">
        <v>197</v>
      </c>
      <c r="D86" s="43" t="s">
        <v>161</v>
      </c>
      <c r="E86" s="43" t="s">
        <v>162</v>
      </c>
      <c r="F86" s="43" t="s">
        <v>169</v>
      </c>
      <c r="G86" s="43">
        <v>10940</v>
      </c>
      <c r="H86" s="43">
        <v>2406.8000000000002</v>
      </c>
      <c r="I86" s="43">
        <f>YEAR(tbl_dashboard[[#This Row],[Fecha]])</f>
        <v>2021</v>
      </c>
      <c r="J86" s="43" t="str">
        <f>TEXT(tbl_dashboard[[#This Row],[Fecha]],"mmmm")</f>
        <v>Febrero</v>
      </c>
      <c r="K86" s="43">
        <f>WEEKNUM(tbl_dashboard[[#This Row],[Fecha]],2)</f>
        <v>9</v>
      </c>
    </row>
    <row r="87" spans="2:11" x14ac:dyDescent="0.2">
      <c r="B87" s="75">
        <v>44251</v>
      </c>
      <c r="C87" s="43" t="s">
        <v>198</v>
      </c>
      <c r="D87" s="43" t="s">
        <v>165</v>
      </c>
      <c r="E87" s="43" t="s">
        <v>166</v>
      </c>
      <c r="F87" s="43" t="s">
        <v>163</v>
      </c>
      <c r="G87" s="43">
        <v>2749</v>
      </c>
      <c r="H87" s="43">
        <v>769.72</v>
      </c>
      <c r="I87" s="43">
        <f>YEAR(tbl_dashboard[[#This Row],[Fecha]])</f>
        <v>2021</v>
      </c>
      <c r="J87" s="43" t="str">
        <f>TEXT(tbl_dashboard[[#This Row],[Fecha]],"mmmm")</f>
        <v>Febrero</v>
      </c>
      <c r="K87" s="43">
        <f>WEEKNUM(tbl_dashboard[[#This Row],[Fecha]],2)</f>
        <v>9</v>
      </c>
    </row>
    <row r="88" spans="2:11" x14ac:dyDescent="0.2">
      <c r="B88" s="75">
        <v>44251</v>
      </c>
      <c r="C88" s="43" t="s">
        <v>199</v>
      </c>
      <c r="D88" s="43" t="s">
        <v>168</v>
      </c>
      <c r="E88" s="43" t="s">
        <v>162</v>
      </c>
      <c r="F88" s="43" t="s">
        <v>163</v>
      </c>
      <c r="G88" s="43">
        <v>1771</v>
      </c>
      <c r="H88" s="43">
        <v>619.85</v>
      </c>
      <c r="I88" s="43">
        <f>YEAR(tbl_dashboard[[#This Row],[Fecha]])</f>
        <v>2021</v>
      </c>
      <c r="J88" s="43" t="str">
        <f>TEXT(tbl_dashboard[[#This Row],[Fecha]],"mmmm")</f>
        <v>Febrero</v>
      </c>
      <c r="K88" s="43">
        <f>WEEKNUM(tbl_dashboard[[#This Row],[Fecha]],2)</f>
        <v>9</v>
      </c>
    </row>
    <row r="89" spans="2:11" x14ac:dyDescent="0.2">
      <c r="B89" s="75">
        <v>44285</v>
      </c>
      <c r="C89" s="43" t="s">
        <v>160</v>
      </c>
      <c r="D89" s="43" t="s">
        <v>165</v>
      </c>
      <c r="E89" s="43" t="s">
        <v>162</v>
      </c>
      <c r="F89" s="43" t="s">
        <v>169</v>
      </c>
      <c r="G89" s="43">
        <v>4311</v>
      </c>
      <c r="H89" s="43">
        <v>1681.29</v>
      </c>
      <c r="I89" s="43">
        <f>YEAR(tbl_dashboard[[#This Row],[Fecha]])</f>
        <v>2021</v>
      </c>
      <c r="J89" s="43" t="str">
        <f>TEXT(tbl_dashboard[[#This Row],[Fecha]],"mmmm")</f>
        <v>Marzo</v>
      </c>
      <c r="K89" s="43">
        <f>WEEKNUM(tbl_dashboard[[#This Row],[Fecha]],2)</f>
        <v>14</v>
      </c>
    </row>
    <row r="90" spans="2:11" x14ac:dyDescent="0.2">
      <c r="B90" s="75">
        <v>44281</v>
      </c>
      <c r="C90" s="43" t="s">
        <v>164</v>
      </c>
      <c r="D90" s="43" t="s">
        <v>165</v>
      </c>
      <c r="E90" s="43" t="s">
        <v>166</v>
      </c>
      <c r="F90" s="43" t="s">
        <v>163</v>
      </c>
      <c r="G90" s="43">
        <v>4502</v>
      </c>
      <c r="H90" s="43">
        <v>2025.9</v>
      </c>
      <c r="I90" s="43">
        <f>YEAR(tbl_dashboard[[#This Row],[Fecha]])</f>
        <v>2021</v>
      </c>
      <c r="J90" s="43" t="str">
        <f>TEXT(tbl_dashboard[[#This Row],[Fecha]],"mmmm")</f>
        <v>Marzo</v>
      </c>
      <c r="K90" s="43">
        <f>WEEKNUM(tbl_dashboard[[#This Row],[Fecha]],2)</f>
        <v>13</v>
      </c>
    </row>
    <row r="91" spans="2:11" x14ac:dyDescent="0.2">
      <c r="B91" s="75">
        <v>44280</v>
      </c>
      <c r="C91" s="43" t="s">
        <v>167</v>
      </c>
      <c r="D91" s="43" t="s">
        <v>165</v>
      </c>
      <c r="E91" s="43" t="s">
        <v>162</v>
      </c>
      <c r="F91" s="43" t="s">
        <v>169</v>
      </c>
      <c r="G91" s="43">
        <v>4866</v>
      </c>
      <c r="H91" s="43">
        <v>1362.48</v>
      </c>
      <c r="I91" s="43">
        <f>YEAR(tbl_dashboard[[#This Row],[Fecha]])</f>
        <v>2021</v>
      </c>
      <c r="J91" s="43" t="str">
        <f>TEXT(tbl_dashboard[[#This Row],[Fecha]],"mmmm")</f>
        <v>Marzo</v>
      </c>
      <c r="K91" s="43">
        <f>WEEKNUM(tbl_dashboard[[#This Row],[Fecha]],2)</f>
        <v>13</v>
      </c>
    </row>
    <row r="92" spans="2:11" x14ac:dyDescent="0.2">
      <c r="B92" s="75">
        <v>44280</v>
      </c>
      <c r="C92" s="43" t="s">
        <v>170</v>
      </c>
      <c r="D92" s="43" t="s">
        <v>161</v>
      </c>
      <c r="E92" s="43" t="s">
        <v>166</v>
      </c>
      <c r="F92" s="43" t="s">
        <v>169</v>
      </c>
      <c r="G92" s="43">
        <v>8395</v>
      </c>
      <c r="H92" s="43">
        <v>3609.85</v>
      </c>
      <c r="I92" s="43">
        <f>YEAR(tbl_dashboard[[#This Row],[Fecha]])</f>
        <v>2021</v>
      </c>
      <c r="J92" s="43" t="str">
        <f>TEXT(tbl_dashboard[[#This Row],[Fecha]],"mmmm")</f>
        <v>Marzo</v>
      </c>
      <c r="K92" s="43">
        <f>WEEKNUM(tbl_dashboard[[#This Row],[Fecha]],2)</f>
        <v>13</v>
      </c>
    </row>
    <row r="93" spans="2:11" x14ac:dyDescent="0.2">
      <c r="B93" s="75">
        <v>44280</v>
      </c>
      <c r="C93" s="43" t="s">
        <v>171</v>
      </c>
      <c r="D93" s="43" t="s">
        <v>165</v>
      </c>
      <c r="E93" s="43" t="s">
        <v>162</v>
      </c>
      <c r="F93" s="43" t="s">
        <v>169</v>
      </c>
      <c r="G93" s="43">
        <v>7766</v>
      </c>
      <c r="H93" s="43">
        <v>2252.14</v>
      </c>
      <c r="I93" s="43">
        <f>YEAR(tbl_dashboard[[#This Row],[Fecha]])</f>
        <v>2021</v>
      </c>
      <c r="J93" s="43" t="str">
        <f>TEXT(tbl_dashboard[[#This Row],[Fecha]],"mmmm")</f>
        <v>Marzo</v>
      </c>
      <c r="K93" s="43">
        <f>WEEKNUM(tbl_dashboard[[#This Row],[Fecha]],2)</f>
        <v>13</v>
      </c>
    </row>
    <row r="94" spans="2:11" x14ac:dyDescent="0.2">
      <c r="B94" s="75">
        <v>44280</v>
      </c>
      <c r="C94" s="43" t="s">
        <v>172</v>
      </c>
      <c r="D94" s="43" t="s">
        <v>168</v>
      </c>
      <c r="E94" s="43" t="s">
        <v>162</v>
      </c>
      <c r="F94" s="43" t="s">
        <v>169</v>
      </c>
      <c r="G94" s="43">
        <v>3828</v>
      </c>
      <c r="H94" s="43">
        <v>1492.92</v>
      </c>
      <c r="I94" s="43">
        <f>YEAR(tbl_dashboard[[#This Row],[Fecha]])</f>
        <v>2021</v>
      </c>
      <c r="J94" s="43" t="str">
        <f>TEXT(tbl_dashboard[[#This Row],[Fecha]],"mmmm")</f>
        <v>Marzo</v>
      </c>
      <c r="K94" s="43">
        <f>WEEKNUM(tbl_dashboard[[#This Row],[Fecha]],2)</f>
        <v>13</v>
      </c>
    </row>
    <row r="95" spans="2:11" x14ac:dyDescent="0.2">
      <c r="B95" s="75">
        <v>44279</v>
      </c>
      <c r="C95" s="43" t="s">
        <v>173</v>
      </c>
      <c r="D95" s="43" t="s">
        <v>161</v>
      </c>
      <c r="E95" s="43" t="s">
        <v>166</v>
      </c>
      <c r="F95" s="43" t="s">
        <v>169</v>
      </c>
      <c r="G95" s="43">
        <v>2485</v>
      </c>
      <c r="H95" s="43">
        <v>994</v>
      </c>
      <c r="I95" s="43">
        <f>YEAR(tbl_dashboard[[#This Row],[Fecha]])</f>
        <v>2021</v>
      </c>
      <c r="J95" s="43" t="str">
        <f>TEXT(tbl_dashboard[[#This Row],[Fecha]],"mmmm")</f>
        <v>Marzo</v>
      </c>
      <c r="K95" s="43">
        <f>WEEKNUM(tbl_dashboard[[#This Row],[Fecha]],2)</f>
        <v>13</v>
      </c>
    </row>
    <row r="96" spans="2:11" x14ac:dyDescent="0.2">
      <c r="B96" s="75">
        <v>44285</v>
      </c>
      <c r="C96" s="43" t="s">
        <v>174</v>
      </c>
      <c r="D96" s="43" t="s">
        <v>165</v>
      </c>
      <c r="E96" s="43" t="s">
        <v>162</v>
      </c>
      <c r="F96" s="43" t="s">
        <v>163</v>
      </c>
      <c r="G96" s="43">
        <v>8991</v>
      </c>
      <c r="H96" s="43">
        <v>1438.56</v>
      </c>
      <c r="I96" s="43">
        <f>YEAR(tbl_dashboard[[#This Row],[Fecha]])</f>
        <v>2021</v>
      </c>
      <c r="J96" s="43" t="str">
        <f>TEXT(tbl_dashboard[[#This Row],[Fecha]],"mmmm")</f>
        <v>Marzo</v>
      </c>
      <c r="K96" s="43">
        <f>WEEKNUM(tbl_dashboard[[#This Row],[Fecha]],2)</f>
        <v>14</v>
      </c>
    </row>
    <row r="97" spans="2:11" x14ac:dyDescent="0.2">
      <c r="B97" s="75">
        <v>44285</v>
      </c>
      <c r="C97" s="43" t="s">
        <v>175</v>
      </c>
      <c r="D97" s="43" t="s">
        <v>168</v>
      </c>
      <c r="E97" s="43" t="s">
        <v>162</v>
      </c>
      <c r="F97" s="43" t="s">
        <v>163</v>
      </c>
      <c r="G97" s="43">
        <v>6402</v>
      </c>
      <c r="H97" s="43">
        <v>2240.6999999999998</v>
      </c>
      <c r="I97" s="43">
        <f>YEAR(tbl_dashboard[[#This Row],[Fecha]])</f>
        <v>2021</v>
      </c>
      <c r="J97" s="43" t="str">
        <f>TEXT(tbl_dashboard[[#This Row],[Fecha]],"mmmm")</f>
        <v>Marzo</v>
      </c>
      <c r="K97" s="43">
        <f>WEEKNUM(tbl_dashboard[[#This Row],[Fecha]],2)</f>
        <v>14</v>
      </c>
    </row>
    <row r="98" spans="2:11" x14ac:dyDescent="0.2">
      <c r="B98" s="75">
        <v>44285</v>
      </c>
      <c r="C98" s="43" t="s">
        <v>176</v>
      </c>
      <c r="D98" s="43" t="s">
        <v>168</v>
      </c>
      <c r="E98" s="43" t="s">
        <v>162</v>
      </c>
      <c r="F98" s="43" t="s">
        <v>169</v>
      </c>
      <c r="G98" s="43">
        <v>2495</v>
      </c>
      <c r="H98" s="43">
        <v>523.95000000000005</v>
      </c>
      <c r="I98" s="43">
        <f>YEAR(tbl_dashboard[[#This Row],[Fecha]])</f>
        <v>2021</v>
      </c>
      <c r="J98" s="43" t="str">
        <f>TEXT(tbl_dashboard[[#This Row],[Fecha]],"mmmm")</f>
        <v>Marzo</v>
      </c>
      <c r="K98" s="43">
        <f>WEEKNUM(tbl_dashboard[[#This Row],[Fecha]],2)</f>
        <v>14</v>
      </c>
    </row>
    <row r="99" spans="2:11" x14ac:dyDescent="0.2">
      <c r="B99" s="75">
        <v>44285</v>
      </c>
      <c r="C99" s="43" t="s">
        <v>177</v>
      </c>
      <c r="D99" s="43" t="s">
        <v>165</v>
      </c>
      <c r="E99" s="43" t="s">
        <v>166</v>
      </c>
      <c r="F99" s="43" t="s">
        <v>169</v>
      </c>
      <c r="G99" s="43">
        <v>2615</v>
      </c>
      <c r="H99" s="43">
        <v>627.6</v>
      </c>
      <c r="I99" s="43">
        <f>YEAR(tbl_dashboard[[#This Row],[Fecha]])</f>
        <v>2021</v>
      </c>
      <c r="J99" s="43" t="str">
        <f>TEXT(tbl_dashboard[[#This Row],[Fecha]],"mmmm")</f>
        <v>Marzo</v>
      </c>
      <c r="K99" s="43">
        <f>WEEKNUM(tbl_dashboard[[#This Row],[Fecha]],2)</f>
        <v>14</v>
      </c>
    </row>
    <row r="100" spans="2:11" x14ac:dyDescent="0.2">
      <c r="B100" s="75">
        <v>44285</v>
      </c>
      <c r="C100" s="43" t="s">
        <v>178</v>
      </c>
      <c r="D100" s="43" t="s">
        <v>165</v>
      </c>
      <c r="E100" s="43" t="s">
        <v>162</v>
      </c>
      <c r="F100" s="43" t="s">
        <v>163</v>
      </c>
      <c r="G100" s="43">
        <v>6304</v>
      </c>
      <c r="H100" s="43">
        <v>2143.36</v>
      </c>
      <c r="I100" s="43">
        <f>YEAR(tbl_dashboard[[#This Row],[Fecha]])</f>
        <v>2021</v>
      </c>
      <c r="J100" s="43" t="str">
        <f>TEXT(tbl_dashboard[[#This Row],[Fecha]],"mmmm")</f>
        <v>Marzo</v>
      </c>
      <c r="K100" s="43">
        <f>WEEKNUM(tbl_dashboard[[#This Row],[Fecha]],2)</f>
        <v>14</v>
      </c>
    </row>
    <row r="101" spans="2:11" x14ac:dyDescent="0.2">
      <c r="B101" s="75">
        <v>44285</v>
      </c>
      <c r="C101" s="43" t="s">
        <v>179</v>
      </c>
      <c r="D101" s="43" t="s">
        <v>165</v>
      </c>
      <c r="E101" s="43" t="s">
        <v>166</v>
      </c>
      <c r="F101" s="43" t="s">
        <v>163</v>
      </c>
      <c r="G101" s="43">
        <v>5428</v>
      </c>
      <c r="H101" s="43">
        <v>814.2</v>
      </c>
      <c r="I101" s="43">
        <f>YEAR(tbl_dashboard[[#This Row],[Fecha]])</f>
        <v>2021</v>
      </c>
      <c r="J101" s="43" t="str">
        <f>TEXT(tbl_dashboard[[#This Row],[Fecha]],"mmmm")</f>
        <v>Marzo</v>
      </c>
      <c r="K101" s="43">
        <f>WEEKNUM(tbl_dashboard[[#This Row],[Fecha]],2)</f>
        <v>14</v>
      </c>
    </row>
    <row r="102" spans="2:11" x14ac:dyDescent="0.2">
      <c r="B102" s="75">
        <v>44285</v>
      </c>
      <c r="C102" s="43" t="s">
        <v>180</v>
      </c>
      <c r="D102" s="43" t="s">
        <v>161</v>
      </c>
      <c r="E102" s="43" t="s">
        <v>166</v>
      </c>
      <c r="F102" s="43" t="s">
        <v>169</v>
      </c>
      <c r="G102" s="43">
        <v>5794</v>
      </c>
      <c r="H102" s="43">
        <v>1738.2</v>
      </c>
      <c r="I102" s="43">
        <f>YEAR(tbl_dashboard[[#This Row],[Fecha]])</f>
        <v>2021</v>
      </c>
      <c r="J102" s="43" t="str">
        <f>TEXT(tbl_dashboard[[#This Row],[Fecha]],"mmmm")</f>
        <v>Marzo</v>
      </c>
      <c r="K102" s="43">
        <f>WEEKNUM(tbl_dashboard[[#This Row],[Fecha]],2)</f>
        <v>14</v>
      </c>
    </row>
    <row r="103" spans="2:11" x14ac:dyDescent="0.2">
      <c r="B103" s="75">
        <v>44281</v>
      </c>
      <c r="C103" s="43" t="s">
        <v>181</v>
      </c>
      <c r="D103" s="43" t="s">
        <v>161</v>
      </c>
      <c r="E103" s="43" t="s">
        <v>162</v>
      </c>
      <c r="F103" s="43" t="s">
        <v>163</v>
      </c>
      <c r="G103" s="43">
        <v>9360</v>
      </c>
      <c r="H103" s="43">
        <v>3556.8</v>
      </c>
      <c r="I103" s="43">
        <f>YEAR(tbl_dashboard[[#This Row],[Fecha]])</f>
        <v>2021</v>
      </c>
      <c r="J103" s="43" t="str">
        <f>TEXT(tbl_dashboard[[#This Row],[Fecha]],"mmmm")</f>
        <v>Marzo</v>
      </c>
      <c r="K103" s="43">
        <f>WEEKNUM(tbl_dashboard[[#This Row],[Fecha]],2)</f>
        <v>13</v>
      </c>
    </row>
    <row r="104" spans="2:11" x14ac:dyDescent="0.2">
      <c r="B104" s="75">
        <v>44280</v>
      </c>
      <c r="C104" s="43" t="s">
        <v>182</v>
      </c>
      <c r="D104" s="43" t="s">
        <v>165</v>
      </c>
      <c r="E104" s="43" t="s">
        <v>162</v>
      </c>
      <c r="F104" s="43" t="s">
        <v>169</v>
      </c>
      <c r="G104" s="43">
        <v>3861</v>
      </c>
      <c r="H104" s="43">
        <v>1235.52</v>
      </c>
      <c r="I104" s="43">
        <f>YEAR(tbl_dashboard[[#This Row],[Fecha]])</f>
        <v>2021</v>
      </c>
      <c r="J104" s="43" t="str">
        <f>TEXT(tbl_dashboard[[#This Row],[Fecha]],"mmmm")</f>
        <v>Marzo</v>
      </c>
      <c r="K104" s="43">
        <f>WEEKNUM(tbl_dashboard[[#This Row],[Fecha]],2)</f>
        <v>13</v>
      </c>
    </row>
    <row r="105" spans="2:11" x14ac:dyDescent="0.2">
      <c r="B105" s="75">
        <v>44280</v>
      </c>
      <c r="C105" s="43" t="s">
        <v>183</v>
      </c>
      <c r="D105" s="43" t="s">
        <v>168</v>
      </c>
      <c r="E105" s="43" t="s">
        <v>166</v>
      </c>
      <c r="F105" s="43" t="s">
        <v>169</v>
      </c>
      <c r="G105" s="43">
        <v>6237</v>
      </c>
      <c r="H105" s="43">
        <v>2806.65</v>
      </c>
      <c r="I105" s="43">
        <f>YEAR(tbl_dashboard[[#This Row],[Fecha]])</f>
        <v>2021</v>
      </c>
      <c r="J105" s="43" t="str">
        <f>TEXT(tbl_dashboard[[#This Row],[Fecha]],"mmmm")</f>
        <v>Marzo</v>
      </c>
      <c r="K105" s="43">
        <f>WEEKNUM(tbl_dashboard[[#This Row],[Fecha]],2)</f>
        <v>13</v>
      </c>
    </row>
    <row r="106" spans="2:11" x14ac:dyDescent="0.2">
      <c r="B106" s="75">
        <v>44280</v>
      </c>
      <c r="C106" s="43" t="s">
        <v>184</v>
      </c>
      <c r="D106" s="43" t="s">
        <v>168</v>
      </c>
      <c r="E106" s="43" t="s">
        <v>166</v>
      </c>
      <c r="F106" s="43" t="s">
        <v>169</v>
      </c>
      <c r="G106" s="43">
        <v>7903</v>
      </c>
      <c r="H106" s="43">
        <v>2212.84</v>
      </c>
      <c r="I106" s="43">
        <f>YEAR(tbl_dashboard[[#This Row],[Fecha]])</f>
        <v>2021</v>
      </c>
      <c r="J106" s="43" t="str">
        <f>TEXT(tbl_dashboard[[#This Row],[Fecha]],"mmmm")</f>
        <v>Marzo</v>
      </c>
      <c r="K106" s="43">
        <f>WEEKNUM(tbl_dashboard[[#This Row],[Fecha]],2)</f>
        <v>13</v>
      </c>
    </row>
    <row r="107" spans="2:11" x14ac:dyDescent="0.2">
      <c r="B107" s="75">
        <v>44280</v>
      </c>
      <c r="C107" s="43" t="s">
        <v>185</v>
      </c>
      <c r="D107" s="43" t="s">
        <v>165</v>
      </c>
      <c r="E107" s="43" t="s">
        <v>166</v>
      </c>
      <c r="F107" s="43" t="s">
        <v>169</v>
      </c>
      <c r="G107" s="43">
        <v>7472</v>
      </c>
      <c r="H107" s="43">
        <v>2839.36</v>
      </c>
      <c r="I107" s="43">
        <f>YEAR(tbl_dashboard[[#This Row],[Fecha]])</f>
        <v>2021</v>
      </c>
      <c r="J107" s="43" t="str">
        <f>TEXT(tbl_dashboard[[#This Row],[Fecha]],"mmmm")</f>
        <v>Marzo</v>
      </c>
      <c r="K107" s="43">
        <f>WEEKNUM(tbl_dashboard[[#This Row],[Fecha]],2)</f>
        <v>13</v>
      </c>
    </row>
    <row r="108" spans="2:11" x14ac:dyDescent="0.2">
      <c r="B108" s="75">
        <v>44279</v>
      </c>
      <c r="C108" s="43" t="s">
        <v>186</v>
      </c>
      <c r="D108" s="43" t="s">
        <v>165</v>
      </c>
      <c r="E108" s="43" t="s">
        <v>162</v>
      </c>
      <c r="F108" s="43" t="s">
        <v>169</v>
      </c>
      <c r="G108" s="43">
        <v>10690</v>
      </c>
      <c r="H108" s="43">
        <v>4169.1000000000004</v>
      </c>
      <c r="I108" s="43">
        <f>YEAR(tbl_dashboard[[#This Row],[Fecha]])</f>
        <v>2021</v>
      </c>
      <c r="J108" s="43" t="str">
        <f>TEXT(tbl_dashboard[[#This Row],[Fecha]],"mmmm")</f>
        <v>Marzo</v>
      </c>
      <c r="K108" s="43">
        <f>WEEKNUM(tbl_dashboard[[#This Row],[Fecha]],2)</f>
        <v>13</v>
      </c>
    </row>
    <row r="109" spans="2:11" x14ac:dyDescent="0.2">
      <c r="B109" s="75">
        <v>44286</v>
      </c>
      <c r="C109" s="43" t="s">
        <v>187</v>
      </c>
      <c r="D109" s="43" t="s">
        <v>165</v>
      </c>
      <c r="E109" s="43" t="s">
        <v>166</v>
      </c>
      <c r="F109" s="43" t="s">
        <v>163</v>
      </c>
      <c r="G109" s="43">
        <v>4811</v>
      </c>
      <c r="H109" s="43">
        <v>1106.53</v>
      </c>
      <c r="I109" s="43">
        <f>YEAR(tbl_dashboard[[#This Row],[Fecha]])</f>
        <v>2021</v>
      </c>
      <c r="J109" s="43" t="str">
        <f>TEXT(tbl_dashboard[[#This Row],[Fecha]],"mmmm")</f>
        <v>Marzo</v>
      </c>
      <c r="K109" s="43">
        <f>WEEKNUM(tbl_dashboard[[#This Row],[Fecha]],2)</f>
        <v>14</v>
      </c>
    </row>
    <row r="110" spans="2:11" x14ac:dyDescent="0.2">
      <c r="B110" s="75">
        <v>44286</v>
      </c>
      <c r="C110" s="43" t="s">
        <v>188</v>
      </c>
      <c r="D110" s="43" t="s">
        <v>161</v>
      </c>
      <c r="E110" s="43" t="s">
        <v>162</v>
      </c>
      <c r="F110" s="43" t="s">
        <v>163</v>
      </c>
      <c r="G110" s="43">
        <v>8523</v>
      </c>
      <c r="H110" s="43">
        <v>1448.91</v>
      </c>
      <c r="I110" s="43">
        <f>YEAR(tbl_dashboard[[#This Row],[Fecha]])</f>
        <v>2021</v>
      </c>
      <c r="J110" s="43" t="str">
        <f>TEXT(tbl_dashboard[[#This Row],[Fecha]],"mmmm")</f>
        <v>Marzo</v>
      </c>
      <c r="K110" s="43">
        <f>WEEKNUM(tbl_dashboard[[#This Row],[Fecha]],2)</f>
        <v>14</v>
      </c>
    </row>
    <row r="111" spans="2:11" x14ac:dyDescent="0.2">
      <c r="B111" s="75">
        <v>44286</v>
      </c>
      <c r="C111" s="43" t="s">
        <v>189</v>
      </c>
      <c r="D111" s="43" t="s">
        <v>165</v>
      </c>
      <c r="E111" s="43" t="s">
        <v>162</v>
      </c>
      <c r="F111" s="43" t="s">
        <v>169</v>
      </c>
      <c r="G111" s="43">
        <v>10371</v>
      </c>
      <c r="H111" s="43">
        <v>2281.62</v>
      </c>
      <c r="I111" s="43">
        <f>YEAR(tbl_dashboard[[#This Row],[Fecha]])</f>
        <v>2021</v>
      </c>
      <c r="J111" s="43" t="str">
        <f>TEXT(tbl_dashboard[[#This Row],[Fecha]],"mmmm")</f>
        <v>Marzo</v>
      </c>
      <c r="K111" s="43">
        <f>WEEKNUM(tbl_dashboard[[#This Row],[Fecha]],2)</f>
        <v>14</v>
      </c>
    </row>
    <row r="112" spans="2:11" x14ac:dyDescent="0.2">
      <c r="B112" s="75">
        <v>44316</v>
      </c>
      <c r="C112" s="43" t="s">
        <v>160</v>
      </c>
      <c r="D112" s="43" t="s">
        <v>165</v>
      </c>
      <c r="E112" s="43" t="s">
        <v>162</v>
      </c>
      <c r="F112" s="43" t="s">
        <v>169</v>
      </c>
      <c r="G112" s="43">
        <v>3539</v>
      </c>
      <c r="H112" s="43">
        <v>813.97</v>
      </c>
      <c r="I112" s="43">
        <f>YEAR(tbl_dashboard[[#This Row],[Fecha]])</f>
        <v>2021</v>
      </c>
      <c r="J112" s="43" t="str">
        <f>TEXT(tbl_dashboard[[#This Row],[Fecha]],"mmmm")</f>
        <v>Abril</v>
      </c>
      <c r="K112" s="43">
        <f>WEEKNUM(tbl_dashboard[[#This Row],[Fecha]],2)</f>
        <v>18</v>
      </c>
    </row>
    <row r="113" spans="2:11" x14ac:dyDescent="0.2">
      <c r="B113" s="75">
        <v>44316</v>
      </c>
      <c r="C113" s="43" t="s">
        <v>164</v>
      </c>
      <c r="D113" s="43" t="s">
        <v>168</v>
      </c>
      <c r="E113" s="43" t="s">
        <v>162</v>
      </c>
      <c r="F113" s="43" t="s">
        <v>163</v>
      </c>
      <c r="G113" s="43">
        <v>4621</v>
      </c>
      <c r="H113" s="43">
        <v>1293.8800000000001</v>
      </c>
      <c r="I113" s="43">
        <f>YEAR(tbl_dashboard[[#This Row],[Fecha]])</f>
        <v>2021</v>
      </c>
      <c r="J113" s="43" t="str">
        <f>TEXT(tbl_dashboard[[#This Row],[Fecha]],"mmmm")</f>
        <v>Abril</v>
      </c>
      <c r="K113" s="43">
        <f>WEEKNUM(tbl_dashboard[[#This Row],[Fecha]],2)</f>
        <v>18</v>
      </c>
    </row>
    <row r="114" spans="2:11" x14ac:dyDescent="0.2">
      <c r="B114" s="75">
        <v>44316</v>
      </c>
      <c r="C114" s="43" t="s">
        <v>167</v>
      </c>
      <c r="D114" s="43" t="s">
        <v>165</v>
      </c>
      <c r="E114" s="43" t="s">
        <v>162</v>
      </c>
      <c r="F114" s="43" t="s">
        <v>163</v>
      </c>
      <c r="G114" s="43">
        <v>1409</v>
      </c>
      <c r="H114" s="43">
        <v>408.61</v>
      </c>
      <c r="I114" s="43">
        <f>YEAR(tbl_dashboard[[#This Row],[Fecha]])</f>
        <v>2021</v>
      </c>
      <c r="J114" s="43" t="str">
        <f>TEXT(tbl_dashboard[[#This Row],[Fecha]],"mmmm")</f>
        <v>Abril</v>
      </c>
      <c r="K114" s="43">
        <f>WEEKNUM(tbl_dashboard[[#This Row],[Fecha]],2)</f>
        <v>18</v>
      </c>
    </row>
    <row r="115" spans="2:11" x14ac:dyDescent="0.2">
      <c r="B115" s="75">
        <v>44316</v>
      </c>
      <c r="C115" s="43" t="s">
        <v>170</v>
      </c>
      <c r="D115" s="43" t="s">
        <v>161</v>
      </c>
      <c r="E115" s="43" t="s">
        <v>162</v>
      </c>
      <c r="F115" s="43" t="s">
        <v>169</v>
      </c>
      <c r="G115" s="43">
        <v>2840</v>
      </c>
      <c r="H115" s="43">
        <v>908.8</v>
      </c>
      <c r="I115" s="43">
        <f>YEAR(tbl_dashboard[[#This Row],[Fecha]])</f>
        <v>2021</v>
      </c>
      <c r="J115" s="43" t="str">
        <f>TEXT(tbl_dashboard[[#This Row],[Fecha]],"mmmm")</f>
        <v>Abril</v>
      </c>
      <c r="K115" s="43">
        <f>WEEKNUM(tbl_dashboard[[#This Row],[Fecha]],2)</f>
        <v>18</v>
      </c>
    </row>
    <row r="116" spans="2:11" x14ac:dyDescent="0.2">
      <c r="B116" s="75">
        <v>44312</v>
      </c>
      <c r="C116" s="43" t="s">
        <v>171</v>
      </c>
      <c r="D116" s="43" t="s">
        <v>161</v>
      </c>
      <c r="E116" s="43" t="s">
        <v>162</v>
      </c>
      <c r="F116" s="43" t="s">
        <v>163</v>
      </c>
      <c r="G116" s="43">
        <v>4820</v>
      </c>
      <c r="H116" s="43">
        <v>723</v>
      </c>
      <c r="I116" s="43">
        <f>YEAR(tbl_dashboard[[#This Row],[Fecha]])</f>
        <v>2021</v>
      </c>
      <c r="J116" s="43" t="str">
        <f>TEXT(tbl_dashboard[[#This Row],[Fecha]],"mmmm")</f>
        <v>Abril</v>
      </c>
      <c r="K116" s="43">
        <f>WEEKNUM(tbl_dashboard[[#This Row],[Fecha]],2)</f>
        <v>18</v>
      </c>
    </row>
    <row r="117" spans="2:11" x14ac:dyDescent="0.2">
      <c r="B117" s="75">
        <v>44311</v>
      </c>
      <c r="C117" s="43" t="s">
        <v>172</v>
      </c>
      <c r="D117" s="43" t="s">
        <v>161</v>
      </c>
      <c r="E117" s="43" t="s">
        <v>166</v>
      </c>
      <c r="F117" s="43" t="s">
        <v>169</v>
      </c>
      <c r="G117" s="43">
        <v>4361</v>
      </c>
      <c r="H117" s="43">
        <v>654.15</v>
      </c>
      <c r="I117" s="43">
        <f>YEAR(tbl_dashboard[[#This Row],[Fecha]])</f>
        <v>2021</v>
      </c>
      <c r="J117" s="43" t="str">
        <f>TEXT(tbl_dashboard[[#This Row],[Fecha]],"mmmm")</f>
        <v>Abril</v>
      </c>
      <c r="K117" s="43">
        <f>WEEKNUM(tbl_dashboard[[#This Row],[Fecha]],2)</f>
        <v>17</v>
      </c>
    </row>
    <row r="118" spans="2:11" x14ac:dyDescent="0.2">
      <c r="B118" s="75">
        <v>44311</v>
      </c>
      <c r="C118" s="43" t="s">
        <v>173</v>
      </c>
      <c r="D118" s="43" t="s">
        <v>168</v>
      </c>
      <c r="E118" s="43" t="s">
        <v>166</v>
      </c>
      <c r="F118" s="43" t="s">
        <v>169</v>
      </c>
      <c r="G118" s="43">
        <v>6527</v>
      </c>
      <c r="H118" s="43">
        <v>2610.8000000000002</v>
      </c>
      <c r="I118" s="43">
        <f>YEAR(tbl_dashboard[[#This Row],[Fecha]])</f>
        <v>2021</v>
      </c>
      <c r="J118" s="43" t="str">
        <f>TEXT(tbl_dashboard[[#This Row],[Fecha]],"mmmm")</f>
        <v>Abril</v>
      </c>
      <c r="K118" s="43">
        <f>WEEKNUM(tbl_dashboard[[#This Row],[Fecha]],2)</f>
        <v>17</v>
      </c>
    </row>
    <row r="119" spans="2:11" x14ac:dyDescent="0.2">
      <c r="B119" s="75">
        <v>44311</v>
      </c>
      <c r="C119" s="43" t="s">
        <v>174</v>
      </c>
      <c r="D119" s="43" t="s">
        <v>161</v>
      </c>
      <c r="E119" s="43" t="s">
        <v>162</v>
      </c>
      <c r="F119" s="43" t="s">
        <v>169</v>
      </c>
      <c r="G119" s="43">
        <v>7308</v>
      </c>
      <c r="H119" s="43">
        <v>2557.8000000000002</v>
      </c>
      <c r="I119" s="43">
        <f>YEAR(tbl_dashboard[[#This Row],[Fecha]])</f>
        <v>2021</v>
      </c>
      <c r="J119" s="43" t="str">
        <f>TEXT(tbl_dashboard[[#This Row],[Fecha]],"mmmm")</f>
        <v>Abril</v>
      </c>
      <c r="K119" s="43">
        <f>WEEKNUM(tbl_dashboard[[#This Row],[Fecha]],2)</f>
        <v>17</v>
      </c>
    </row>
    <row r="120" spans="2:11" x14ac:dyDescent="0.2">
      <c r="B120" s="75">
        <v>44311</v>
      </c>
      <c r="C120" s="43" t="s">
        <v>175</v>
      </c>
      <c r="D120" s="43" t="s">
        <v>161</v>
      </c>
      <c r="E120" s="43" t="s">
        <v>166</v>
      </c>
      <c r="F120" s="43" t="s">
        <v>169</v>
      </c>
      <c r="G120" s="43">
        <v>5191</v>
      </c>
      <c r="H120" s="43">
        <v>1557.3</v>
      </c>
      <c r="I120" s="43">
        <f>YEAR(tbl_dashboard[[#This Row],[Fecha]])</f>
        <v>2021</v>
      </c>
      <c r="J120" s="43" t="str">
        <f>TEXT(tbl_dashboard[[#This Row],[Fecha]],"mmmm")</f>
        <v>Abril</v>
      </c>
      <c r="K120" s="43">
        <f>WEEKNUM(tbl_dashboard[[#This Row],[Fecha]],2)</f>
        <v>17</v>
      </c>
    </row>
    <row r="121" spans="2:11" x14ac:dyDescent="0.2">
      <c r="B121" s="75">
        <v>44310</v>
      </c>
      <c r="C121" s="43" t="s">
        <v>176</v>
      </c>
      <c r="D121" s="43" t="s">
        <v>168</v>
      </c>
      <c r="E121" s="43" t="s">
        <v>162</v>
      </c>
      <c r="F121" s="43" t="s">
        <v>169</v>
      </c>
      <c r="G121" s="43">
        <v>6927</v>
      </c>
      <c r="H121" s="43">
        <v>1662.48</v>
      </c>
      <c r="I121" s="43">
        <f>YEAR(tbl_dashboard[[#This Row],[Fecha]])</f>
        <v>2021</v>
      </c>
      <c r="J121" s="43" t="str">
        <f>TEXT(tbl_dashboard[[#This Row],[Fecha]],"mmmm")</f>
        <v>Abril</v>
      </c>
      <c r="K121" s="43">
        <f>WEEKNUM(tbl_dashboard[[#This Row],[Fecha]],2)</f>
        <v>17</v>
      </c>
    </row>
    <row r="122" spans="2:11" x14ac:dyDescent="0.2">
      <c r="B122" s="75">
        <v>44316</v>
      </c>
      <c r="C122" s="43" t="s">
        <v>177</v>
      </c>
      <c r="D122" s="43" t="s">
        <v>161</v>
      </c>
      <c r="E122" s="43" t="s">
        <v>162</v>
      </c>
      <c r="F122" s="43" t="s">
        <v>163</v>
      </c>
      <c r="G122" s="43">
        <v>4215</v>
      </c>
      <c r="H122" s="43">
        <v>1138.05</v>
      </c>
      <c r="I122" s="43">
        <f>YEAR(tbl_dashboard[[#This Row],[Fecha]])</f>
        <v>2021</v>
      </c>
      <c r="J122" s="43" t="str">
        <f>TEXT(tbl_dashboard[[#This Row],[Fecha]],"mmmm")</f>
        <v>Abril</v>
      </c>
      <c r="K122" s="43">
        <f>WEEKNUM(tbl_dashboard[[#This Row],[Fecha]],2)</f>
        <v>18</v>
      </c>
    </row>
    <row r="123" spans="2:11" x14ac:dyDescent="0.2">
      <c r="B123" s="75">
        <v>44316</v>
      </c>
      <c r="C123" s="43" t="s">
        <v>178</v>
      </c>
      <c r="D123" s="43" t="s">
        <v>168</v>
      </c>
      <c r="E123" s="43" t="s">
        <v>162</v>
      </c>
      <c r="F123" s="43" t="s">
        <v>163</v>
      </c>
      <c r="G123" s="43">
        <v>8956</v>
      </c>
      <c r="H123" s="43">
        <v>3851.08</v>
      </c>
      <c r="I123" s="43">
        <f>YEAR(tbl_dashboard[[#This Row],[Fecha]])</f>
        <v>2021</v>
      </c>
      <c r="J123" s="43" t="str">
        <f>TEXT(tbl_dashboard[[#This Row],[Fecha]],"mmmm")</f>
        <v>Abril</v>
      </c>
      <c r="K123" s="43">
        <f>WEEKNUM(tbl_dashboard[[#This Row],[Fecha]],2)</f>
        <v>18</v>
      </c>
    </row>
    <row r="124" spans="2:11" x14ac:dyDescent="0.2">
      <c r="B124" s="75">
        <v>44316</v>
      </c>
      <c r="C124" s="43" t="s">
        <v>179</v>
      </c>
      <c r="D124" s="43" t="s">
        <v>168</v>
      </c>
      <c r="E124" s="43" t="s">
        <v>166</v>
      </c>
      <c r="F124" s="43" t="s">
        <v>169</v>
      </c>
      <c r="G124" s="43">
        <v>5958</v>
      </c>
      <c r="H124" s="43">
        <v>1727.82</v>
      </c>
      <c r="I124" s="43">
        <f>YEAR(tbl_dashboard[[#This Row],[Fecha]])</f>
        <v>2021</v>
      </c>
      <c r="J124" s="43" t="str">
        <f>TEXT(tbl_dashboard[[#This Row],[Fecha]],"mmmm")</f>
        <v>Abril</v>
      </c>
      <c r="K124" s="43">
        <f>WEEKNUM(tbl_dashboard[[#This Row],[Fecha]],2)</f>
        <v>18</v>
      </c>
    </row>
    <row r="125" spans="2:11" x14ac:dyDescent="0.2">
      <c r="B125" s="75">
        <v>44316</v>
      </c>
      <c r="C125" s="43" t="s">
        <v>180</v>
      </c>
      <c r="D125" s="43" t="s">
        <v>168</v>
      </c>
      <c r="E125" s="43" t="s">
        <v>162</v>
      </c>
      <c r="F125" s="43" t="s">
        <v>169</v>
      </c>
      <c r="G125" s="43">
        <v>6870</v>
      </c>
      <c r="H125" s="43">
        <v>2129.6999999999998</v>
      </c>
      <c r="I125" s="43">
        <f>YEAR(tbl_dashboard[[#This Row],[Fecha]])</f>
        <v>2021</v>
      </c>
      <c r="J125" s="43" t="str">
        <f>TEXT(tbl_dashboard[[#This Row],[Fecha]],"mmmm")</f>
        <v>Abril</v>
      </c>
      <c r="K125" s="43">
        <f>WEEKNUM(tbl_dashboard[[#This Row],[Fecha]],2)</f>
        <v>18</v>
      </c>
    </row>
    <row r="126" spans="2:11" x14ac:dyDescent="0.2">
      <c r="B126" s="75">
        <v>44316</v>
      </c>
      <c r="C126" s="43" t="s">
        <v>181</v>
      </c>
      <c r="D126" s="43" t="s">
        <v>168</v>
      </c>
      <c r="E126" s="43" t="s">
        <v>166</v>
      </c>
      <c r="F126" s="43" t="s">
        <v>163</v>
      </c>
      <c r="G126" s="43">
        <v>9612</v>
      </c>
      <c r="H126" s="43">
        <v>4325.3999999999996</v>
      </c>
      <c r="I126" s="43">
        <f>YEAR(tbl_dashboard[[#This Row],[Fecha]])</f>
        <v>2021</v>
      </c>
      <c r="J126" s="43" t="str">
        <f>TEXT(tbl_dashboard[[#This Row],[Fecha]],"mmmm")</f>
        <v>Abril</v>
      </c>
      <c r="K126" s="43">
        <f>WEEKNUM(tbl_dashboard[[#This Row],[Fecha]],2)</f>
        <v>18</v>
      </c>
    </row>
    <row r="127" spans="2:11" x14ac:dyDescent="0.2">
      <c r="B127" s="75">
        <v>44316</v>
      </c>
      <c r="C127" s="43" t="s">
        <v>182</v>
      </c>
      <c r="D127" s="43" t="s">
        <v>165</v>
      </c>
      <c r="E127" s="43" t="s">
        <v>166</v>
      </c>
      <c r="F127" s="43" t="s">
        <v>163</v>
      </c>
      <c r="G127" s="43">
        <v>1880</v>
      </c>
      <c r="H127" s="43">
        <v>808.4</v>
      </c>
      <c r="I127" s="43">
        <f>YEAR(tbl_dashboard[[#This Row],[Fecha]])</f>
        <v>2021</v>
      </c>
      <c r="J127" s="43" t="str">
        <f>TEXT(tbl_dashboard[[#This Row],[Fecha]],"mmmm")</f>
        <v>Abril</v>
      </c>
      <c r="K127" s="43">
        <f>WEEKNUM(tbl_dashboard[[#This Row],[Fecha]],2)</f>
        <v>18</v>
      </c>
    </row>
    <row r="128" spans="2:11" x14ac:dyDescent="0.2">
      <c r="B128" s="75">
        <v>44316</v>
      </c>
      <c r="C128" s="43" t="s">
        <v>183</v>
      </c>
      <c r="D128" s="43" t="s">
        <v>168</v>
      </c>
      <c r="E128" s="43" t="s">
        <v>166</v>
      </c>
      <c r="F128" s="43" t="s">
        <v>169</v>
      </c>
      <c r="G128" s="43">
        <v>8485</v>
      </c>
      <c r="H128" s="43">
        <v>2206.1</v>
      </c>
      <c r="I128" s="43">
        <f>YEAR(tbl_dashboard[[#This Row],[Fecha]])</f>
        <v>2021</v>
      </c>
      <c r="J128" s="43" t="str">
        <f>TEXT(tbl_dashboard[[#This Row],[Fecha]],"mmmm")</f>
        <v>Abril</v>
      </c>
      <c r="K128" s="43">
        <f>WEEKNUM(tbl_dashboard[[#This Row],[Fecha]],2)</f>
        <v>18</v>
      </c>
    </row>
    <row r="129" spans="2:11" x14ac:dyDescent="0.2">
      <c r="B129" s="75">
        <v>44312</v>
      </c>
      <c r="C129" s="43" t="s">
        <v>184</v>
      </c>
      <c r="D129" s="43" t="s">
        <v>161</v>
      </c>
      <c r="E129" s="43" t="s">
        <v>162</v>
      </c>
      <c r="F129" s="43" t="s">
        <v>163</v>
      </c>
      <c r="G129" s="43">
        <v>3803</v>
      </c>
      <c r="H129" s="43">
        <v>646.51</v>
      </c>
      <c r="I129" s="43">
        <f>YEAR(tbl_dashboard[[#This Row],[Fecha]])</f>
        <v>2021</v>
      </c>
      <c r="J129" s="43" t="str">
        <f>TEXT(tbl_dashboard[[#This Row],[Fecha]],"mmmm")</f>
        <v>Abril</v>
      </c>
      <c r="K129" s="43">
        <f>WEEKNUM(tbl_dashboard[[#This Row],[Fecha]],2)</f>
        <v>18</v>
      </c>
    </row>
    <row r="130" spans="2:11" x14ac:dyDescent="0.2">
      <c r="B130" s="75">
        <v>44311</v>
      </c>
      <c r="C130" s="43" t="s">
        <v>185</v>
      </c>
      <c r="D130" s="43" t="s">
        <v>165</v>
      </c>
      <c r="E130" s="43" t="s">
        <v>162</v>
      </c>
      <c r="F130" s="43" t="s">
        <v>169</v>
      </c>
      <c r="G130" s="43">
        <v>8079</v>
      </c>
      <c r="H130" s="43">
        <v>3393.18</v>
      </c>
      <c r="I130" s="43">
        <f>YEAR(tbl_dashboard[[#This Row],[Fecha]])</f>
        <v>2021</v>
      </c>
      <c r="J130" s="43" t="str">
        <f>TEXT(tbl_dashboard[[#This Row],[Fecha]],"mmmm")</f>
        <v>Abril</v>
      </c>
      <c r="K130" s="43">
        <f>WEEKNUM(tbl_dashboard[[#This Row],[Fecha]],2)</f>
        <v>17</v>
      </c>
    </row>
    <row r="131" spans="2:11" x14ac:dyDescent="0.2">
      <c r="B131" s="75">
        <v>44311</v>
      </c>
      <c r="C131" s="43" t="s">
        <v>186</v>
      </c>
      <c r="D131" s="43" t="s">
        <v>168</v>
      </c>
      <c r="E131" s="43" t="s">
        <v>162</v>
      </c>
      <c r="F131" s="43" t="s">
        <v>169</v>
      </c>
      <c r="G131" s="43">
        <v>5078</v>
      </c>
      <c r="H131" s="43">
        <v>1371.06</v>
      </c>
      <c r="I131" s="43">
        <f>YEAR(tbl_dashboard[[#This Row],[Fecha]])</f>
        <v>2021</v>
      </c>
      <c r="J131" s="43" t="str">
        <f>TEXT(tbl_dashboard[[#This Row],[Fecha]],"mmmm")</f>
        <v>Abril</v>
      </c>
      <c r="K131" s="43">
        <f>WEEKNUM(tbl_dashboard[[#This Row],[Fecha]],2)</f>
        <v>17</v>
      </c>
    </row>
    <row r="132" spans="2:11" x14ac:dyDescent="0.2">
      <c r="B132" s="75">
        <v>44311</v>
      </c>
      <c r="C132" s="43" t="s">
        <v>187</v>
      </c>
      <c r="D132" s="43" t="s">
        <v>165</v>
      </c>
      <c r="E132" s="43" t="s">
        <v>162</v>
      </c>
      <c r="F132" s="43" t="s">
        <v>169</v>
      </c>
      <c r="G132" s="43">
        <v>3318</v>
      </c>
      <c r="H132" s="43">
        <v>530.88</v>
      </c>
      <c r="I132" s="43">
        <f>YEAR(tbl_dashboard[[#This Row],[Fecha]])</f>
        <v>2021</v>
      </c>
      <c r="J132" s="43" t="str">
        <f>TEXT(tbl_dashboard[[#This Row],[Fecha]],"mmmm")</f>
        <v>Abril</v>
      </c>
      <c r="K132" s="43">
        <f>WEEKNUM(tbl_dashboard[[#This Row],[Fecha]],2)</f>
        <v>17</v>
      </c>
    </row>
    <row r="133" spans="2:11" x14ac:dyDescent="0.2">
      <c r="B133" s="75">
        <v>44311</v>
      </c>
      <c r="C133" s="43" t="s">
        <v>188</v>
      </c>
      <c r="D133" s="43" t="s">
        <v>165</v>
      </c>
      <c r="E133" s="43" t="s">
        <v>166</v>
      </c>
      <c r="F133" s="43" t="s">
        <v>169</v>
      </c>
      <c r="G133" s="43">
        <v>6047</v>
      </c>
      <c r="H133" s="43">
        <v>1814.1</v>
      </c>
      <c r="I133" s="43">
        <f>YEAR(tbl_dashboard[[#This Row],[Fecha]])</f>
        <v>2021</v>
      </c>
      <c r="J133" s="43" t="str">
        <f>TEXT(tbl_dashboard[[#This Row],[Fecha]],"mmmm")</f>
        <v>Abril</v>
      </c>
      <c r="K133" s="43">
        <f>WEEKNUM(tbl_dashboard[[#This Row],[Fecha]],2)</f>
        <v>17</v>
      </c>
    </row>
    <row r="134" spans="2:11" x14ac:dyDescent="0.2">
      <c r="B134" s="75">
        <v>44310</v>
      </c>
      <c r="C134" s="43" t="s">
        <v>189</v>
      </c>
      <c r="D134" s="43" t="s">
        <v>165</v>
      </c>
      <c r="E134" s="43" t="s">
        <v>162</v>
      </c>
      <c r="F134" s="43" t="s">
        <v>169</v>
      </c>
      <c r="G134" s="43">
        <v>3008</v>
      </c>
      <c r="H134" s="43">
        <v>481.28</v>
      </c>
      <c r="I134" s="43">
        <f>YEAR(tbl_dashboard[[#This Row],[Fecha]])</f>
        <v>2021</v>
      </c>
      <c r="J134" s="43" t="str">
        <f>TEXT(tbl_dashboard[[#This Row],[Fecha]],"mmmm")</f>
        <v>Abril</v>
      </c>
      <c r="K134" s="43">
        <f>WEEKNUM(tbl_dashboard[[#This Row],[Fecha]],2)</f>
        <v>17</v>
      </c>
    </row>
    <row r="135" spans="2:11" x14ac:dyDescent="0.2">
      <c r="B135" s="75">
        <v>44347</v>
      </c>
      <c r="C135" s="43" t="s">
        <v>160</v>
      </c>
      <c r="D135" s="43" t="s">
        <v>161</v>
      </c>
      <c r="E135" s="43" t="s">
        <v>162</v>
      </c>
      <c r="F135" s="43" t="s">
        <v>163</v>
      </c>
      <c r="G135" s="43">
        <v>2574</v>
      </c>
      <c r="H135" s="43">
        <v>720.72</v>
      </c>
      <c r="I135" s="43">
        <f>YEAR(tbl_dashboard[[#This Row],[Fecha]])</f>
        <v>2021</v>
      </c>
      <c r="J135" s="43" t="str">
        <f>TEXT(tbl_dashboard[[#This Row],[Fecha]],"mmmm")</f>
        <v>Mayo</v>
      </c>
      <c r="K135" s="43">
        <f>WEEKNUM(tbl_dashboard[[#This Row],[Fecha]],2)</f>
        <v>23</v>
      </c>
    </row>
    <row r="136" spans="2:11" x14ac:dyDescent="0.2">
      <c r="B136" s="75">
        <v>44347</v>
      </c>
      <c r="C136" s="43" t="s">
        <v>164</v>
      </c>
      <c r="D136" s="43" t="s">
        <v>165</v>
      </c>
      <c r="E136" s="43" t="s">
        <v>166</v>
      </c>
      <c r="F136" s="43" t="s">
        <v>163</v>
      </c>
      <c r="G136" s="43">
        <v>8804</v>
      </c>
      <c r="H136" s="43">
        <v>2377.08</v>
      </c>
      <c r="I136" s="43">
        <f>YEAR(tbl_dashboard[[#This Row],[Fecha]])</f>
        <v>2021</v>
      </c>
      <c r="J136" s="43" t="str">
        <f>TEXT(tbl_dashboard[[#This Row],[Fecha]],"mmmm")</f>
        <v>Mayo</v>
      </c>
      <c r="K136" s="43">
        <f>WEEKNUM(tbl_dashboard[[#This Row],[Fecha]],2)</f>
        <v>23</v>
      </c>
    </row>
    <row r="137" spans="2:11" x14ac:dyDescent="0.2">
      <c r="B137" s="75">
        <v>44347</v>
      </c>
      <c r="C137" s="43" t="s">
        <v>167</v>
      </c>
      <c r="D137" s="43" t="s">
        <v>168</v>
      </c>
      <c r="E137" s="43" t="s">
        <v>166</v>
      </c>
      <c r="F137" s="43" t="s">
        <v>169</v>
      </c>
      <c r="G137" s="43">
        <v>11270</v>
      </c>
      <c r="H137" s="43">
        <v>4169.8999999999996</v>
      </c>
      <c r="I137" s="43">
        <f>YEAR(tbl_dashboard[[#This Row],[Fecha]])</f>
        <v>2021</v>
      </c>
      <c r="J137" s="43" t="str">
        <f>TEXT(tbl_dashboard[[#This Row],[Fecha]],"mmmm")</f>
        <v>Mayo</v>
      </c>
      <c r="K137" s="43">
        <f>WEEKNUM(tbl_dashboard[[#This Row],[Fecha]],2)</f>
        <v>23</v>
      </c>
    </row>
    <row r="138" spans="2:11" x14ac:dyDescent="0.2">
      <c r="B138" s="75">
        <v>44347</v>
      </c>
      <c r="C138" s="43" t="s">
        <v>170</v>
      </c>
      <c r="D138" s="43" t="s">
        <v>161</v>
      </c>
      <c r="E138" s="43" t="s">
        <v>162</v>
      </c>
      <c r="F138" s="43" t="s">
        <v>169</v>
      </c>
      <c r="G138" s="43">
        <v>8678</v>
      </c>
      <c r="H138" s="43">
        <v>1909.16</v>
      </c>
      <c r="I138" s="43">
        <f>YEAR(tbl_dashboard[[#This Row],[Fecha]])</f>
        <v>2021</v>
      </c>
      <c r="J138" s="43" t="str">
        <f>TEXT(tbl_dashboard[[#This Row],[Fecha]],"mmmm")</f>
        <v>Mayo</v>
      </c>
      <c r="K138" s="43">
        <f>WEEKNUM(tbl_dashboard[[#This Row],[Fecha]],2)</f>
        <v>23</v>
      </c>
    </row>
    <row r="139" spans="2:11" x14ac:dyDescent="0.2">
      <c r="B139" s="75">
        <v>44347</v>
      </c>
      <c r="C139" s="43" t="s">
        <v>171</v>
      </c>
      <c r="D139" s="43" t="s">
        <v>165</v>
      </c>
      <c r="E139" s="43" t="s">
        <v>166</v>
      </c>
      <c r="F139" s="43" t="s">
        <v>163</v>
      </c>
      <c r="G139" s="43">
        <v>11166</v>
      </c>
      <c r="H139" s="43">
        <v>4913.04</v>
      </c>
      <c r="I139" s="43">
        <f>YEAR(tbl_dashboard[[#This Row],[Fecha]])</f>
        <v>2021</v>
      </c>
      <c r="J139" s="43" t="str">
        <f>TEXT(tbl_dashboard[[#This Row],[Fecha]],"mmmm")</f>
        <v>Mayo</v>
      </c>
      <c r="K139" s="43">
        <f>WEEKNUM(tbl_dashboard[[#This Row],[Fecha]],2)</f>
        <v>23</v>
      </c>
    </row>
    <row r="140" spans="2:11" x14ac:dyDescent="0.2">
      <c r="B140" s="75">
        <v>44347</v>
      </c>
      <c r="C140" s="43" t="s">
        <v>172</v>
      </c>
      <c r="D140" s="43" t="s">
        <v>165</v>
      </c>
      <c r="E140" s="43" t="s">
        <v>166</v>
      </c>
      <c r="F140" s="43" t="s">
        <v>163</v>
      </c>
      <c r="G140" s="43">
        <v>11370</v>
      </c>
      <c r="H140" s="43">
        <v>2728.8</v>
      </c>
      <c r="I140" s="43">
        <f>YEAR(tbl_dashboard[[#This Row],[Fecha]])</f>
        <v>2021</v>
      </c>
      <c r="J140" s="43" t="str">
        <f>TEXT(tbl_dashboard[[#This Row],[Fecha]],"mmmm")</f>
        <v>Mayo</v>
      </c>
      <c r="K140" s="43">
        <f>WEEKNUM(tbl_dashboard[[#This Row],[Fecha]],2)</f>
        <v>23</v>
      </c>
    </row>
    <row r="141" spans="2:11" x14ac:dyDescent="0.2">
      <c r="B141" s="75">
        <v>44346</v>
      </c>
      <c r="C141" s="43" t="s">
        <v>173</v>
      </c>
      <c r="D141" s="43" t="s">
        <v>161</v>
      </c>
      <c r="E141" s="43" t="s">
        <v>166</v>
      </c>
      <c r="F141" s="43" t="s">
        <v>169</v>
      </c>
      <c r="G141" s="43">
        <v>5564</v>
      </c>
      <c r="H141" s="43">
        <v>1279.72</v>
      </c>
      <c r="I141" s="43">
        <f>YEAR(tbl_dashboard[[#This Row],[Fecha]])</f>
        <v>2021</v>
      </c>
      <c r="J141" s="43" t="str">
        <f>TEXT(tbl_dashboard[[#This Row],[Fecha]],"mmmm")</f>
        <v>Mayo</v>
      </c>
      <c r="K141" s="43">
        <f>WEEKNUM(tbl_dashboard[[#This Row],[Fecha]],2)</f>
        <v>22</v>
      </c>
    </row>
    <row r="142" spans="2:11" x14ac:dyDescent="0.2">
      <c r="B142" s="75">
        <v>44342</v>
      </c>
      <c r="C142" s="43" t="s">
        <v>174</v>
      </c>
      <c r="D142" s="43" t="s">
        <v>165</v>
      </c>
      <c r="E142" s="43" t="s">
        <v>166</v>
      </c>
      <c r="F142" s="43" t="s">
        <v>163</v>
      </c>
      <c r="G142" s="43">
        <v>3646</v>
      </c>
      <c r="H142" s="43">
        <v>1494.86</v>
      </c>
      <c r="I142" s="43">
        <f>YEAR(tbl_dashboard[[#This Row],[Fecha]])</f>
        <v>2021</v>
      </c>
      <c r="J142" s="43" t="str">
        <f>TEXT(tbl_dashboard[[#This Row],[Fecha]],"mmmm")</f>
        <v>Mayo</v>
      </c>
      <c r="K142" s="43">
        <f>WEEKNUM(tbl_dashboard[[#This Row],[Fecha]],2)</f>
        <v>22</v>
      </c>
    </row>
    <row r="143" spans="2:11" x14ac:dyDescent="0.2">
      <c r="B143" s="75">
        <v>44341</v>
      </c>
      <c r="C143" s="43" t="s">
        <v>175</v>
      </c>
      <c r="D143" s="43" t="s">
        <v>168</v>
      </c>
      <c r="E143" s="43" t="s">
        <v>166</v>
      </c>
      <c r="F143" s="43" t="s">
        <v>169</v>
      </c>
      <c r="G143" s="43">
        <v>4850</v>
      </c>
      <c r="H143" s="43">
        <v>1261</v>
      </c>
      <c r="I143" s="43">
        <f>YEAR(tbl_dashboard[[#This Row],[Fecha]])</f>
        <v>2021</v>
      </c>
      <c r="J143" s="43" t="str">
        <f>TEXT(tbl_dashboard[[#This Row],[Fecha]],"mmmm")</f>
        <v>Mayo</v>
      </c>
      <c r="K143" s="43">
        <f>WEEKNUM(tbl_dashboard[[#This Row],[Fecha]],2)</f>
        <v>22</v>
      </c>
    </row>
    <row r="144" spans="2:11" x14ac:dyDescent="0.2">
      <c r="B144" s="75">
        <v>44341</v>
      </c>
      <c r="C144" s="43" t="s">
        <v>176</v>
      </c>
      <c r="D144" s="43" t="s">
        <v>161</v>
      </c>
      <c r="E144" s="43" t="s">
        <v>166</v>
      </c>
      <c r="F144" s="43" t="s">
        <v>169</v>
      </c>
      <c r="G144" s="43">
        <v>6180</v>
      </c>
      <c r="H144" s="43">
        <v>1421.4</v>
      </c>
      <c r="I144" s="43">
        <f>YEAR(tbl_dashboard[[#This Row],[Fecha]])</f>
        <v>2021</v>
      </c>
      <c r="J144" s="43" t="str">
        <f>TEXT(tbl_dashboard[[#This Row],[Fecha]],"mmmm")</f>
        <v>Mayo</v>
      </c>
      <c r="K144" s="43">
        <f>WEEKNUM(tbl_dashboard[[#This Row],[Fecha]],2)</f>
        <v>22</v>
      </c>
    </row>
    <row r="145" spans="2:11" x14ac:dyDescent="0.2">
      <c r="B145" s="75">
        <v>44341</v>
      </c>
      <c r="C145" s="43" t="s">
        <v>177</v>
      </c>
      <c r="D145" s="43" t="s">
        <v>165</v>
      </c>
      <c r="E145" s="43" t="s">
        <v>162</v>
      </c>
      <c r="F145" s="43" t="s">
        <v>169</v>
      </c>
      <c r="G145" s="43">
        <v>10351</v>
      </c>
      <c r="H145" s="43">
        <v>2070.1999999999998</v>
      </c>
      <c r="I145" s="43">
        <f>YEAR(tbl_dashboard[[#This Row],[Fecha]])</f>
        <v>2021</v>
      </c>
      <c r="J145" s="43" t="str">
        <f>TEXT(tbl_dashboard[[#This Row],[Fecha]],"mmmm")</f>
        <v>Mayo</v>
      </c>
      <c r="K145" s="43">
        <f>WEEKNUM(tbl_dashboard[[#This Row],[Fecha]],2)</f>
        <v>22</v>
      </c>
    </row>
    <row r="146" spans="2:11" x14ac:dyDescent="0.2">
      <c r="B146" s="75">
        <v>44341</v>
      </c>
      <c r="C146" s="43" t="s">
        <v>178</v>
      </c>
      <c r="D146" s="43" t="s">
        <v>168</v>
      </c>
      <c r="E146" s="43" t="s">
        <v>162</v>
      </c>
      <c r="F146" s="43" t="s">
        <v>169</v>
      </c>
      <c r="G146" s="43">
        <v>11339</v>
      </c>
      <c r="H146" s="43">
        <v>4648.99</v>
      </c>
      <c r="I146" s="43">
        <f>YEAR(tbl_dashboard[[#This Row],[Fecha]])</f>
        <v>2021</v>
      </c>
      <c r="J146" s="43" t="str">
        <f>TEXT(tbl_dashboard[[#This Row],[Fecha]],"mmmm")</f>
        <v>Mayo</v>
      </c>
      <c r="K146" s="43">
        <f>WEEKNUM(tbl_dashboard[[#This Row],[Fecha]],2)</f>
        <v>22</v>
      </c>
    </row>
    <row r="147" spans="2:11" x14ac:dyDescent="0.2">
      <c r="B147" s="75">
        <v>44340</v>
      </c>
      <c r="C147" s="43" t="s">
        <v>179</v>
      </c>
      <c r="D147" s="43" t="s">
        <v>168</v>
      </c>
      <c r="E147" s="43" t="s">
        <v>166</v>
      </c>
      <c r="F147" s="43" t="s">
        <v>169</v>
      </c>
      <c r="G147" s="43">
        <v>4364</v>
      </c>
      <c r="H147" s="43">
        <v>1221.92</v>
      </c>
      <c r="I147" s="43">
        <f>YEAR(tbl_dashboard[[#This Row],[Fecha]])</f>
        <v>2021</v>
      </c>
      <c r="J147" s="43" t="str">
        <f>TEXT(tbl_dashboard[[#This Row],[Fecha]],"mmmm")</f>
        <v>Mayo</v>
      </c>
      <c r="K147" s="43">
        <f>WEEKNUM(tbl_dashboard[[#This Row],[Fecha]],2)</f>
        <v>22</v>
      </c>
    </row>
    <row r="148" spans="2:11" x14ac:dyDescent="0.2">
      <c r="B148" s="75">
        <v>44377</v>
      </c>
      <c r="C148" s="43" t="s">
        <v>160</v>
      </c>
      <c r="D148" s="43" t="s">
        <v>165</v>
      </c>
      <c r="E148" s="43" t="s">
        <v>162</v>
      </c>
      <c r="F148" s="43" t="s">
        <v>163</v>
      </c>
      <c r="G148" s="43">
        <v>3350</v>
      </c>
      <c r="H148" s="43">
        <v>1206</v>
      </c>
      <c r="I148" s="43">
        <f>YEAR(tbl_dashboard[[#This Row],[Fecha]])</f>
        <v>2021</v>
      </c>
      <c r="J148" s="43" t="str">
        <f>TEXT(tbl_dashboard[[#This Row],[Fecha]],"mmmm")</f>
        <v>Junio</v>
      </c>
      <c r="K148" s="43">
        <f>WEEKNUM(tbl_dashboard[[#This Row],[Fecha]],2)</f>
        <v>27</v>
      </c>
    </row>
    <row r="149" spans="2:11" x14ac:dyDescent="0.2">
      <c r="B149" s="75">
        <v>44377</v>
      </c>
      <c r="C149" s="43" t="s">
        <v>164</v>
      </c>
      <c r="D149" s="43" t="s">
        <v>165</v>
      </c>
      <c r="E149" s="43" t="s">
        <v>162</v>
      </c>
      <c r="F149" s="43" t="s">
        <v>163</v>
      </c>
      <c r="G149" s="43">
        <v>1485</v>
      </c>
      <c r="H149" s="43">
        <v>579.15</v>
      </c>
      <c r="I149" s="43">
        <f>YEAR(tbl_dashboard[[#This Row],[Fecha]])</f>
        <v>2021</v>
      </c>
      <c r="J149" s="43" t="str">
        <f>TEXT(tbl_dashboard[[#This Row],[Fecha]],"mmmm")</f>
        <v>Junio</v>
      </c>
      <c r="K149" s="43">
        <f>WEEKNUM(tbl_dashboard[[#This Row],[Fecha]],2)</f>
        <v>27</v>
      </c>
    </row>
    <row r="150" spans="2:11" x14ac:dyDescent="0.2">
      <c r="B150" s="75">
        <v>44377</v>
      </c>
      <c r="C150" s="43" t="s">
        <v>167</v>
      </c>
      <c r="D150" s="43" t="s">
        <v>165</v>
      </c>
      <c r="E150" s="43" t="s">
        <v>162</v>
      </c>
      <c r="F150" s="43" t="s">
        <v>169</v>
      </c>
      <c r="G150" s="43">
        <v>11121</v>
      </c>
      <c r="H150" s="43">
        <v>2669.04</v>
      </c>
      <c r="I150" s="43">
        <f>YEAR(tbl_dashboard[[#This Row],[Fecha]])</f>
        <v>2021</v>
      </c>
      <c r="J150" s="43" t="str">
        <f>TEXT(tbl_dashboard[[#This Row],[Fecha]],"mmmm")</f>
        <v>Junio</v>
      </c>
      <c r="K150" s="43">
        <f>WEEKNUM(tbl_dashboard[[#This Row],[Fecha]],2)</f>
        <v>27</v>
      </c>
    </row>
    <row r="151" spans="2:11" x14ac:dyDescent="0.2">
      <c r="B151" s="75">
        <v>44377</v>
      </c>
      <c r="C151" s="43" t="s">
        <v>170</v>
      </c>
      <c r="D151" s="43" t="s">
        <v>161</v>
      </c>
      <c r="E151" s="43" t="s">
        <v>166</v>
      </c>
      <c r="F151" s="43" t="s">
        <v>169</v>
      </c>
      <c r="G151" s="43">
        <v>3908</v>
      </c>
      <c r="H151" s="43">
        <v>742.52</v>
      </c>
      <c r="I151" s="43">
        <f>YEAR(tbl_dashboard[[#This Row],[Fecha]])</f>
        <v>2021</v>
      </c>
      <c r="J151" s="43" t="str">
        <f>TEXT(tbl_dashboard[[#This Row],[Fecha]],"mmmm")</f>
        <v>Junio</v>
      </c>
      <c r="K151" s="43">
        <f>WEEKNUM(tbl_dashboard[[#This Row],[Fecha]],2)</f>
        <v>27</v>
      </c>
    </row>
    <row r="152" spans="2:11" x14ac:dyDescent="0.2">
      <c r="B152" s="75">
        <v>44377</v>
      </c>
      <c r="C152" s="43" t="s">
        <v>171</v>
      </c>
      <c r="D152" s="43" t="s">
        <v>161</v>
      </c>
      <c r="E152" s="43" t="s">
        <v>162</v>
      </c>
      <c r="F152" s="43" t="s">
        <v>163</v>
      </c>
      <c r="G152" s="43">
        <v>3112</v>
      </c>
      <c r="H152" s="43">
        <v>1244.8</v>
      </c>
      <c r="I152" s="43">
        <f>YEAR(tbl_dashboard[[#This Row],[Fecha]])</f>
        <v>2021</v>
      </c>
      <c r="J152" s="43" t="str">
        <f>TEXT(tbl_dashboard[[#This Row],[Fecha]],"mmmm")</f>
        <v>Junio</v>
      </c>
      <c r="K152" s="43">
        <f>WEEKNUM(tbl_dashboard[[#This Row],[Fecha]],2)</f>
        <v>27</v>
      </c>
    </row>
    <row r="153" spans="2:11" x14ac:dyDescent="0.2">
      <c r="B153" s="75">
        <v>44377</v>
      </c>
      <c r="C153" s="43" t="s">
        <v>172</v>
      </c>
      <c r="D153" s="43" t="s">
        <v>165</v>
      </c>
      <c r="E153" s="43" t="s">
        <v>162</v>
      </c>
      <c r="F153" s="43" t="s">
        <v>163</v>
      </c>
      <c r="G153" s="43">
        <v>8851</v>
      </c>
      <c r="H153" s="43">
        <v>1681.69</v>
      </c>
      <c r="I153" s="43">
        <f>YEAR(tbl_dashboard[[#This Row],[Fecha]])</f>
        <v>2021</v>
      </c>
      <c r="J153" s="43" t="str">
        <f>TEXT(tbl_dashboard[[#This Row],[Fecha]],"mmmm")</f>
        <v>Junio</v>
      </c>
      <c r="K153" s="43">
        <f>WEEKNUM(tbl_dashboard[[#This Row],[Fecha]],2)</f>
        <v>27</v>
      </c>
    </row>
    <row r="154" spans="2:11" x14ac:dyDescent="0.2">
      <c r="B154" s="75">
        <v>44377</v>
      </c>
      <c r="C154" s="43" t="s">
        <v>173</v>
      </c>
      <c r="D154" s="43" t="s">
        <v>168</v>
      </c>
      <c r="E154" s="43" t="s">
        <v>166</v>
      </c>
      <c r="F154" s="43" t="s">
        <v>169</v>
      </c>
      <c r="G154" s="43">
        <v>1053</v>
      </c>
      <c r="H154" s="43">
        <v>400.14</v>
      </c>
      <c r="I154" s="43">
        <f>YEAR(tbl_dashboard[[#This Row],[Fecha]])</f>
        <v>2021</v>
      </c>
      <c r="J154" s="43" t="str">
        <f>TEXT(tbl_dashboard[[#This Row],[Fecha]],"mmmm")</f>
        <v>Junio</v>
      </c>
      <c r="K154" s="43">
        <f>WEEKNUM(tbl_dashboard[[#This Row],[Fecha]],2)</f>
        <v>27</v>
      </c>
    </row>
    <row r="155" spans="2:11" x14ac:dyDescent="0.2">
      <c r="B155" s="75">
        <v>44373</v>
      </c>
      <c r="C155" s="43" t="s">
        <v>174</v>
      </c>
      <c r="D155" s="43" t="s">
        <v>168</v>
      </c>
      <c r="E155" s="43" t="s">
        <v>162</v>
      </c>
      <c r="F155" s="43" t="s">
        <v>163</v>
      </c>
      <c r="G155" s="43">
        <v>4188</v>
      </c>
      <c r="H155" s="43">
        <v>963.24</v>
      </c>
      <c r="I155" s="43">
        <f>YEAR(tbl_dashboard[[#This Row],[Fecha]])</f>
        <v>2021</v>
      </c>
      <c r="J155" s="43" t="str">
        <f>TEXT(tbl_dashboard[[#This Row],[Fecha]],"mmmm")</f>
        <v>Junio</v>
      </c>
      <c r="K155" s="43">
        <f>WEEKNUM(tbl_dashboard[[#This Row],[Fecha]],2)</f>
        <v>26</v>
      </c>
    </row>
    <row r="156" spans="2:11" x14ac:dyDescent="0.2">
      <c r="B156" s="75">
        <v>44372</v>
      </c>
      <c r="C156" s="43" t="s">
        <v>175</v>
      </c>
      <c r="D156" s="43" t="s">
        <v>165</v>
      </c>
      <c r="E156" s="43" t="s">
        <v>166</v>
      </c>
      <c r="F156" s="43" t="s">
        <v>169</v>
      </c>
      <c r="G156" s="43">
        <v>4720</v>
      </c>
      <c r="H156" s="43">
        <v>991.2</v>
      </c>
      <c r="I156" s="43">
        <f>YEAR(tbl_dashboard[[#This Row],[Fecha]])</f>
        <v>2021</v>
      </c>
      <c r="J156" s="43" t="str">
        <f>TEXT(tbl_dashboard[[#This Row],[Fecha]],"mmmm")</f>
        <v>Junio</v>
      </c>
      <c r="K156" s="43">
        <f>WEEKNUM(tbl_dashboard[[#This Row],[Fecha]],2)</f>
        <v>26</v>
      </c>
    </row>
    <row r="157" spans="2:11" x14ac:dyDescent="0.2">
      <c r="B157" s="75">
        <v>44372</v>
      </c>
      <c r="C157" s="43" t="s">
        <v>176</v>
      </c>
      <c r="D157" s="43" t="s">
        <v>165</v>
      </c>
      <c r="E157" s="43" t="s">
        <v>166</v>
      </c>
      <c r="F157" s="43" t="s">
        <v>169</v>
      </c>
      <c r="G157" s="43">
        <v>10814</v>
      </c>
      <c r="H157" s="43">
        <v>4650.0200000000004</v>
      </c>
      <c r="I157" s="43">
        <f>YEAR(tbl_dashboard[[#This Row],[Fecha]])</f>
        <v>2021</v>
      </c>
      <c r="J157" s="43" t="str">
        <f>TEXT(tbl_dashboard[[#This Row],[Fecha]],"mmmm")</f>
        <v>Junio</v>
      </c>
      <c r="K157" s="43">
        <f>WEEKNUM(tbl_dashboard[[#This Row],[Fecha]],2)</f>
        <v>26</v>
      </c>
    </row>
    <row r="158" spans="2:11" x14ac:dyDescent="0.2">
      <c r="B158" s="75">
        <v>44372</v>
      </c>
      <c r="C158" s="43" t="s">
        <v>177</v>
      </c>
      <c r="D158" s="43" t="s">
        <v>165</v>
      </c>
      <c r="E158" s="43" t="s">
        <v>166</v>
      </c>
      <c r="F158" s="43" t="s">
        <v>169</v>
      </c>
      <c r="G158" s="43">
        <v>10115</v>
      </c>
      <c r="H158" s="43">
        <v>2427.6</v>
      </c>
      <c r="I158" s="43">
        <f>YEAR(tbl_dashboard[[#This Row],[Fecha]])</f>
        <v>2021</v>
      </c>
      <c r="J158" s="43" t="str">
        <f>TEXT(tbl_dashboard[[#This Row],[Fecha]],"mmmm")</f>
        <v>Junio</v>
      </c>
      <c r="K158" s="43">
        <f>WEEKNUM(tbl_dashboard[[#This Row],[Fecha]],2)</f>
        <v>26</v>
      </c>
    </row>
    <row r="159" spans="2:11" x14ac:dyDescent="0.2">
      <c r="B159" s="75">
        <v>44372</v>
      </c>
      <c r="C159" s="43" t="s">
        <v>178</v>
      </c>
      <c r="D159" s="43" t="s">
        <v>161</v>
      </c>
      <c r="E159" s="43" t="s">
        <v>162</v>
      </c>
      <c r="F159" s="43" t="s">
        <v>169</v>
      </c>
      <c r="G159" s="43">
        <v>4742</v>
      </c>
      <c r="H159" s="43">
        <v>2086.48</v>
      </c>
      <c r="I159" s="43">
        <f>YEAR(tbl_dashboard[[#This Row],[Fecha]])</f>
        <v>2021</v>
      </c>
      <c r="J159" s="43" t="str">
        <f>TEXT(tbl_dashboard[[#This Row],[Fecha]],"mmmm")</f>
        <v>Junio</v>
      </c>
      <c r="K159" s="43">
        <f>WEEKNUM(tbl_dashboard[[#This Row],[Fecha]],2)</f>
        <v>26</v>
      </c>
    </row>
    <row r="160" spans="2:11" x14ac:dyDescent="0.2">
      <c r="B160" s="75">
        <v>44371</v>
      </c>
      <c r="C160" s="43" t="s">
        <v>179</v>
      </c>
      <c r="D160" s="43" t="s">
        <v>165</v>
      </c>
      <c r="E160" s="43" t="s">
        <v>166</v>
      </c>
      <c r="F160" s="43" t="s">
        <v>169</v>
      </c>
      <c r="G160" s="43">
        <v>4330</v>
      </c>
      <c r="H160" s="43">
        <v>1948.5</v>
      </c>
      <c r="I160" s="43">
        <f>YEAR(tbl_dashboard[[#This Row],[Fecha]])</f>
        <v>2021</v>
      </c>
      <c r="J160" s="43" t="str">
        <f>TEXT(tbl_dashboard[[#This Row],[Fecha]],"mmmm")</f>
        <v>Junio</v>
      </c>
      <c r="K160" s="43">
        <f>WEEKNUM(tbl_dashboard[[#This Row],[Fecha]],2)</f>
        <v>26</v>
      </c>
    </row>
    <row r="161" spans="2:11" x14ac:dyDescent="0.2">
      <c r="B161" s="75">
        <v>44371</v>
      </c>
      <c r="C161" s="43" t="s">
        <v>180</v>
      </c>
      <c r="D161" s="43" t="s">
        <v>165</v>
      </c>
      <c r="E161" s="43" t="s">
        <v>162</v>
      </c>
      <c r="F161" s="43" t="s">
        <v>163</v>
      </c>
      <c r="G161" s="43">
        <v>3056</v>
      </c>
      <c r="H161" s="43">
        <v>947.36</v>
      </c>
      <c r="I161" s="43">
        <f>YEAR(tbl_dashboard[[#This Row],[Fecha]])</f>
        <v>2021</v>
      </c>
      <c r="J161" s="43" t="str">
        <f>TEXT(tbl_dashboard[[#This Row],[Fecha]],"mmmm")</f>
        <v>Junio</v>
      </c>
      <c r="K161" s="43">
        <f>WEEKNUM(tbl_dashboard[[#This Row],[Fecha]],2)</f>
        <v>26</v>
      </c>
    </row>
    <row r="162" spans="2:11" x14ac:dyDescent="0.2">
      <c r="B162" s="75">
        <v>44371</v>
      </c>
      <c r="C162" s="43" t="s">
        <v>181</v>
      </c>
      <c r="D162" s="43" t="s">
        <v>168</v>
      </c>
      <c r="E162" s="43" t="s">
        <v>162</v>
      </c>
      <c r="F162" s="43" t="s">
        <v>163</v>
      </c>
      <c r="G162" s="43">
        <v>3499</v>
      </c>
      <c r="H162" s="43">
        <v>979.72</v>
      </c>
      <c r="I162" s="43">
        <f>YEAR(tbl_dashboard[[#This Row],[Fecha]])</f>
        <v>2021</v>
      </c>
      <c r="J162" s="43" t="str">
        <f>TEXT(tbl_dashboard[[#This Row],[Fecha]],"mmmm")</f>
        <v>Junio</v>
      </c>
      <c r="K162" s="43">
        <f>WEEKNUM(tbl_dashboard[[#This Row],[Fecha]],2)</f>
        <v>26</v>
      </c>
    </row>
    <row r="163" spans="2:11" x14ac:dyDescent="0.2">
      <c r="B163" s="75">
        <v>44408</v>
      </c>
      <c r="C163" s="43" t="s">
        <v>160</v>
      </c>
      <c r="D163" s="43" t="s">
        <v>165</v>
      </c>
      <c r="E163" s="43" t="s">
        <v>162</v>
      </c>
      <c r="F163" s="43" t="s">
        <v>169</v>
      </c>
      <c r="G163" s="43">
        <v>7707</v>
      </c>
      <c r="H163" s="43">
        <v>2774.52</v>
      </c>
      <c r="I163" s="43">
        <f>YEAR(tbl_dashboard[[#This Row],[Fecha]])</f>
        <v>2021</v>
      </c>
      <c r="J163" s="43" t="str">
        <f>TEXT(tbl_dashboard[[#This Row],[Fecha]],"mmmm")</f>
        <v>Julio</v>
      </c>
      <c r="K163" s="43">
        <f>WEEKNUM(tbl_dashboard[[#This Row],[Fecha]],2)</f>
        <v>31</v>
      </c>
    </row>
    <row r="164" spans="2:11" x14ac:dyDescent="0.2">
      <c r="B164" s="75">
        <v>44408</v>
      </c>
      <c r="C164" s="43" t="s">
        <v>164</v>
      </c>
      <c r="D164" s="43" t="s">
        <v>161</v>
      </c>
      <c r="E164" s="43" t="s">
        <v>162</v>
      </c>
      <c r="F164" s="43" t="s">
        <v>169</v>
      </c>
      <c r="G164" s="43">
        <v>3942</v>
      </c>
      <c r="H164" s="43">
        <v>591.29999999999995</v>
      </c>
      <c r="I164" s="43">
        <f>YEAR(tbl_dashboard[[#This Row],[Fecha]])</f>
        <v>2021</v>
      </c>
      <c r="J164" s="43" t="str">
        <f>TEXT(tbl_dashboard[[#This Row],[Fecha]],"mmmm")</f>
        <v>Julio</v>
      </c>
      <c r="K164" s="43">
        <f>WEEKNUM(tbl_dashboard[[#This Row],[Fecha]],2)</f>
        <v>31</v>
      </c>
    </row>
    <row r="165" spans="2:11" x14ac:dyDescent="0.2">
      <c r="B165" s="75">
        <v>44408</v>
      </c>
      <c r="C165" s="43" t="s">
        <v>167</v>
      </c>
      <c r="D165" s="43" t="s">
        <v>161</v>
      </c>
      <c r="E165" s="43" t="s">
        <v>166</v>
      </c>
      <c r="F165" s="43" t="s">
        <v>163</v>
      </c>
      <c r="G165" s="43">
        <v>2600</v>
      </c>
      <c r="H165" s="43">
        <v>494</v>
      </c>
      <c r="I165" s="43">
        <f>YEAR(tbl_dashboard[[#This Row],[Fecha]])</f>
        <v>2021</v>
      </c>
      <c r="J165" s="43" t="str">
        <f>TEXT(tbl_dashboard[[#This Row],[Fecha]],"mmmm")</f>
        <v>Julio</v>
      </c>
      <c r="K165" s="43">
        <f>WEEKNUM(tbl_dashboard[[#This Row],[Fecha]],2)</f>
        <v>31</v>
      </c>
    </row>
    <row r="166" spans="2:11" x14ac:dyDescent="0.2">
      <c r="B166" s="75">
        <v>44408</v>
      </c>
      <c r="C166" s="43" t="s">
        <v>170</v>
      </c>
      <c r="D166" s="43" t="s">
        <v>161</v>
      </c>
      <c r="E166" s="43" t="s">
        <v>162</v>
      </c>
      <c r="F166" s="43" t="s">
        <v>163</v>
      </c>
      <c r="G166" s="43">
        <v>1804</v>
      </c>
      <c r="H166" s="43">
        <v>487.08</v>
      </c>
      <c r="I166" s="43">
        <f>YEAR(tbl_dashboard[[#This Row],[Fecha]])</f>
        <v>2021</v>
      </c>
      <c r="J166" s="43" t="str">
        <f>TEXT(tbl_dashboard[[#This Row],[Fecha]],"mmmm")</f>
        <v>Julio</v>
      </c>
      <c r="K166" s="43">
        <f>WEEKNUM(tbl_dashboard[[#This Row],[Fecha]],2)</f>
        <v>31</v>
      </c>
    </row>
    <row r="167" spans="2:11" x14ac:dyDescent="0.2">
      <c r="B167" s="75">
        <v>44407</v>
      </c>
      <c r="C167" s="43" t="s">
        <v>171</v>
      </c>
      <c r="D167" s="43" t="s">
        <v>168</v>
      </c>
      <c r="E167" s="43" t="s">
        <v>166</v>
      </c>
      <c r="F167" s="43" t="s">
        <v>169</v>
      </c>
      <c r="G167" s="43">
        <v>2450</v>
      </c>
      <c r="H167" s="43">
        <v>661.5</v>
      </c>
      <c r="I167" s="43">
        <f>YEAR(tbl_dashboard[[#This Row],[Fecha]])</f>
        <v>2021</v>
      </c>
      <c r="J167" s="43" t="str">
        <f>TEXT(tbl_dashboard[[#This Row],[Fecha]],"mmmm")</f>
        <v>Julio</v>
      </c>
      <c r="K167" s="43">
        <f>WEEKNUM(tbl_dashboard[[#This Row],[Fecha]],2)</f>
        <v>31</v>
      </c>
    </row>
    <row r="168" spans="2:11" x14ac:dyDescent="0.2">
      <c r="B168" s="75">
        <v>44403</v>
      </c>
      <c r="C168" s="43" t="s">
        <v>172</v>
      </c>
      <c r="D168" s="43" t="s">
        <v>161</v>
      </c>
      <c r="E168" s="43" t="s">
        <v>166</v>
      </c>
      <c r="F168" s="43" t="s">
        <v>163</v>
      </c>
      <c r="G168" s="43">
        <v>2087</v>
      </c>
      <c r="H168" s="43">
        <v>646.97</v>
      </c>
      <c r="I168" s="43">
        <f>YEAR(tbl_dashboard[[#This Row],[Fecha]])</f>
        <v>2021</v>
      </c>
      <c r="J168" s="43" t="str">
        <f>TEXT(tbl_dashboard[[#This Row],[Fecha]],"mmmm")</f>
        <v>Julio</v>
      </c>
      <c r="K168" s="43">
        <f>WEEKNUM(tbl_dashboard[[#This Row],[Fecha]],2)</f>
        <v>31</v>
      </c>
    </row>
    <row r="169" spans="2:11" x14ac:dyDescent="0.2">
      <c r="B169" s="75">
        <v>44402</v>
      </c>
      <c r="C169" s="43" t="s">
        <v>173</v>
      </c>
      <c r="D169" s="43" t="s">
        <v>161</v>
      </c>
      <c r="E169" s="43" t="s">
        <v>162</v>
      </c>
      <c r="F169" s="43" t="s">
        <v>169</v>
      </c>
      <c r="G169" s="43">
        <v>4420</v>
      </c>
      <c r="H169" s="43">
        <v>1856.4</v>
      </c>
      <c r="I169" s="43">
        <f>YEAR(tbl_dashboard[[#This Row],[Fecha]])</f>
        <v>2021</v>
      </c>
      <c r="J169" s="43" t="str">
        <f>TEXT(tbl_dashboard[[#This Row],[Fecha]],"mmmm")</f>
        <v>Julio</v>
      </c>
      <c r="K169" s="43">
        <f>WEEKNUM(tbl_dashboard[[#This Row],[Fecha]],2)</f>
        <v>30</v>
      </c>
    </row>
    <row r="170" spans="2:11" x14ac:dyDescent="0.2">
      <c r="B170" s="75">
        <v>44402</v>
      </c>
      <c r="C170" s="43" t="s">
        <v>174</v>
      </c>
      <c r="D170" s="43" t="s">
        <v>168</v>
      </c>
      <c r="E170" s="43" t="s">
        <v>162</v>
      </c>
      <c r="F170" s="43" t="s">
        <v>169</v>
      </c>
      <c r="G170" s="43">
        <v>1214</v>
      </c>
      <c r="H170" s="43">
        <v>352.06</v>
      </c>
      <c r="I170" s="43">
        <f>YEAR(tbl_dashboard[[#This Row],[Fecha]])</f>
        <v>2021</v>
      </c>
      <c r="J170" s="43" t="str">
        <f>TEXT(tbl_dashboard[[#This Row],[Fecha]],"mmmm")</f>
        <v>Julio</v>
      </c>
      <c r="K170" s="43">
        <f>WEEKNUM(tbl_dashboard[[#This Row],[Fecha]],2)</f>
        <v>30</v>
      </c>
    </row>
    <row r="171" spans="2:11" x14ac:dyDescent="0.2">
      <c r="B171" s="75">
        <v>44402</v>
      </c>
      <c r="C171" s="43" t="s">
        <v>175</v>
      </c>
      <c r="D171" s="43" t="s">
        <v>161</v>
      </c>
      <c r="E171" s="43" t="s">
        <v>162</v>
      </c>
      <c r="F171" s="43" t="s">
        <v>169</v>
      </c>
      <c r="G171" s="43">
        <v>10818</v>
      </c>
      <c r="H171" s="43">
        <v>4543.5600000000004</v>
      </c>
      <c r="I171" s="43">
        <f>YEAR(tbl_dashboard[[#This Row],[Fecha]])</f>
        <v>2021</v>
      </c>
      <c r="J171" s="43" t="str">
        <f>TEXT(tbl_dashboard[[#This Row],[Fecha]],"mmmm")</f>
        <v>Julio</v>
      </c>
      <c r="K171" s="43">
        <f>WEEKNUM(tbl_dashboard[[#This Row],[Fecha]],2)</f>
        <v>30</v>
      </c>
    </row>
    <row r="172" spans="2:11" x14ac:dyDescent="0.2">
      <c r="B172" s="75">
        <v>44402</v>
      </c>
      <c r="C172" s="43" t="s">
        <v>176</v>
      </c>
      <c r="D172" s="43" t="s">
        <v>168</v>
      </c>
      <c r="E172" s="43" t="s">
        <v>166</v>
      </c>
      <c r="F172" s="43" t="s">
        <v>169</v>
      </c>
      <c r="G172" s="43">
        <v>7848</v>
      </c>
      <c r="H172" s="43">
        <v>2354.4</v>
      </c>
      <c r="I172" s="43">
        <f>YEAR(tbl_dashboard[[#This Row],[Fecha]])</f>
        <v>2021</v>
      </c>
      <c r="J172" s="43" t="str">
        <f>TEXT(tbl_dashboard[[#This Row],[Fecha]],"mmmm")</f>
        <v>Julio</v>
      </c>
      <c r="K172" s="43">
        <f>WEEKNUM(tbl_dashboard[[#This Row],[Fecha]],2)</f>
        <v>30</v>
      </c>
    </row>
    <row r="173" spans="2:11" x14ac:dyDescent="0.2">
      <c r="B173" s="75">
        <v>44401</v>
      </c>
      <c r="C173" s="43" t="s">
        <v>177</v>
      </c>
      <c r="D173" s="43" t="s">
        <v>168</v>
      </c>
      <c r="E173" s="43" t="s">
        <v>162</v>
      </c>
      <c r="F173" s="43" t="s">
        <v>169</v>
      </c>
      <c r="G173" s="43">
        <v>2382</v>
      </c>
      <c r="H173" s="43">
        <v>952.8</v>
      </c>
      <c r="I173" s="43">
        <f>YEAR(tbl_dashboard[[#This Row],[Fecha]])</f>
        <v>2021</v>
      </c>
      <c r="J173" s="43" t="str">
        <f>TEXT(tbl_dashboard[[#This Row],[Fecha]],"mmmm")</f>
        <v>Julio</v>
      </c>
      <c r="K173" s="43">
        <f>WEEKNUM(tbl_dashboard[[#This Row],[Fecha]],2)</f>
        <v>30</v>
      </c>
    </row>
    <row r="174" spans="2:11" x14ac:dyDescent="0.2">
      <c r="B174" s="75">
        <v>44407</v>
      </c>
      <c r="C174" s="43" t="s">
        <v>178</v>
      </c>
      <c r="D174" s="43" t="s">
        <v>168</v>
      </c>
      <c r="E174" s="43" t="s">
        <v>162</v>
      </c>
      <c r="F174" s="43" t="s">
        <v>163</v>
      </c>
      <c r="G174" s="43">
        <v>10228</v>
      </c>
      <c r="H174" s="43">
        <v>3068.4</v>
      </c>
      <c r="I174" s="43">
        <f>YEAR(tbl_dashboard[[#This Row],[Fecha]])</f>
        <v>2021</v>
      </c>
      <c r="J174" s="43" t="str">
        <f>TEXT(tbl_dashboard[[#This Row],[Fecha]],"mmmm")</f>
        <v>Julio</v>
      </c>
      <c r="K174" s="43">
        <f>WEEKNUM(tbl_dashboard[[#This Row],[Fecha]],2)</f>
        <v>31</v>
      </c>
    </row>
    <row r="175" spans="2:11" x14ac:dyDescent="0.2">
      <c r="B175" s="75">
        <v>44407</v>
      </c>
      <c r="C175" s="43" t="s">
        <v>179</v>
      </c>
      <c r="D175" s="43" t="s">
        <v>168</v>
      </c>
      <c r="E175" s="43" t="s">
        <v>166</v>
      </c>
      <c r="F175" s="43" t="s">
        <v>163</v>
      </c>
      <c r="G175" s="43">
        <v>6054</v>
      </c>
      <c r="H175" s="43">
        <v>1089.72</v>
      </c>
      <c r="I175" s="43">
        <f>YEAR(tbl_dashboard[[#This Row],[Fecha]])</f>
        <v>2021</v>
      </c>
      <c r="J175" s="43" t="str">
        <f>TEXT(tbl_dashboard[[#This Row],[Fecha]],"mmmm")</f>
        <v>Julio</v>
      </c>
      <c r="K175" s="43">
        <f>WEEKNUM(tbl_dashboard[[#This Row],[Fecha]],2)</f>
        <v>31</v>
      </c>
    </row>
    <row r="176" spans="2:11" x14ac:dyDescent="0.2">
      <c r="B176" s="75">
        <v>44407</v>
      </c>
      <c r="C176" s="43" t="s">
        <v>180</v>
      </c>
      <c r="D176" s="43" t="s">
        <v>165</v>
      </c>
      <c r="E176" s="43" t="s">
        <v>162</v>
      </c>
      <c r="F176" s="43" t="s">
        <v>169</v>
      </c>
      <c r="G176" s="43">
        <v>7117</v>
      </c>
      <c r="H176" s="43">
        <v>2348.61</v>
      </c>
      <c r="I176" s="43">
        <f>YEAR(tbl_dashboard[[#This Row],[Fecha]])</f>
        <v>2021</v>
      </c>
      <c r="J176" s="43" t="str">
        <f>TEXT(tbl_dashboard[[#This Row],[Fecha]],"mmmm")</f>
        <v>Julio</v>
      </c>
      <c r="K176" s="43">
        <f>WEEKNUM(tbl_dashboard[[#This Row],[Fecha]],2)</f>
        <v>31</v>
      </c>
    </row>
    <row r="177" spans="2:11" x14ac:dyDescent="0.2">
      <c r="B177" s="75">
        <v>44407</v>
      </c>
      <c r="C177" s="43" t="s">
        <v>181</v>
      </c>
      <c r="D177" s="43" t="s">
        <v>168</v>
      </c>
      <c r="E177" s="43" t="s">
        <v>166</v>
      </c>
      <c r="F177" s="43" t="s">
        <v>169</v>
      </c>
      <c r="G177" s="43">
        <v>7652</v>
      </c>
      <c r="H177" s="43">
        <v>1147.8</v>
      </c>
      <c r="I177" s="43">
        <f>YEAR(tbl_dashboard[[#This Row],[Fecha]])</f>
        <v>2021</v>
      </c>
      <c r="J177" s="43" t="str">
        <f>TEXT(tbl_dashboard[[#This Row],[Fecha]],"mmmm")</f>
        <v>Julio</v>
      </c>
      <c r="K177" s="43">
        <f>WEEKNUM(tbl_dashboard[[#This Row],[Fecha]],2)</f>
        <v>31</v>
      </c>
    </row>
    <row r="178" spans="2:11" x14ac:dyDescent="0.2">
      <c r="B178" s="75">
        <v>44407</v>
      </c>
      <c r="C178" s="43" t="s">
        <v>182</v>
      </c>
      <c r="D178" s="43" t="s">
        <v>161</v>
      </c>
      <c r="E178" s="43" t="s">
        <v>166</v>
      </c>
      <c r="F178" s="43" t="s">
        <v>163</v>
      </c>
      <c r="G178" s="43">
        <v>4976</v>
      </c>
      <c r="H178" s="43">
        <v>1741.6</v>
      </c>
      <c r="I178" s="43">
        <f>YEAR(tbl_dashboard[[#This Row],[Fecha]])</f>
        <v>2021</v>
      </c>
      <c r="J178" s="43" t="str">
        <f>TEXT(tbl_dashboard[[#This Row],[Fecha]],"mmmm")</f>
        <v>Julio</v>
      </c>
      <c r="K178" s="43">
        <f>WEEKNUM(tbl_dashboard[[#This Row],[Fecha]],2)</f>
        <v>31</v>
      </c>
    </row>
    <row r="179" spans="2:11" x14ac:dyDescent="0.2">
      <c r="B179" s="75">
        <v>44407</v>
      </c>
      <c r="C179" s="43" t="s">
        <v>183</v>
      </c>
      <c r="D179" s="43" t="s">
        <v>165</v>
      </c>
      <c r="E179" s="43" t="s">
        <v>166</v>
      </c>
      <c r="F179" s="43" t="s">
        <v>163</v>
      </c>
      <c r="G179" s="43">
        <v>1250</v>
      </c>
      <c r="H179" s="43">
        <v>287.5</v>
      </c>
      <c r="I179" s="43">
        <f>YEAR(tbl_dashboard[[#This Row],[Fecha]])</f>
        <v>2021</v>
      </c>
      <c r="J179" s="43" t="str">
        <f>TEXT(tbl_dashboard[[#This Row],[Fecha]],"mmmm")</f>
        <v>Julio</v>
      </c>
      <c r="K179" s="43">
        <f>WEEKNUM(tbl_dashboard[[#This Row],[Fecha]],2)</f>
        <v>31</v>
      </c>
    </row>
    <row r="180" spans="2:11" x14ac:dyDescent="0.2">
      <c r="B180" s="75">
        <v>44407</v>
      </c>
      <c r="C180" s="43" t="s">
        <v>184</v>
      </c>
      <c r="D180" s="43" t="s">
        <v>168</v>
      </c>
      <c r="E180" s="43" t="s">
        <v>166</v>
      </c>
      <c r="F180" s="43" t="s">
        <v>169</v>
      </c>
      <c r="G180" s="43">
        <v>1243</v>
      </c>
      <c r="H180" s="43">
        <v>546.91999999999996</v>
      </c>
      <c r="I180" s="43">
        <f>YEAR(tbl_dashboard[[#This Row],[Fecha]])</f>
        <v>2021</v>
      </c>
      <c r="J180" s="43" t="str">
        <f>TEXT(tbl_dashboard[[#This Row],[Fecha]],"mmmm")</f>
        <v>Julio</v>
      </c>
      <c r="K180" s="43">
        <f>WEEKNUM(tbl_dashboard[[#This Row],[Fecha]],2)</f>
        <v>31</v>
      </c>
    </row>
    <row r="181" spans="2:11" x14ac:dyDescent="0.2">
      <c r="B181" s="75">
        <v>44403</v>
      </c>
      <c r="C181" s="43" t="s">
        <v>185</v>
      </c>
      <c r="D181" s="43" t="s">
        <v>165</v>
      </c>
      <c r="E181" s="43" t="s">
        <v>162</v>
      </c>
      <c r="F181" s="43" t="s">
        <v>163</v>
      </c>
      <c r="G181" s="43">
        <v>11224</v>
      </c>
      <c r="H181" s="43">
        <v>2806</v>
      </c>
      <c r="I181" s="43">
        <f>YEAR(tbl_dashboard[[#This Row],[Fecha]])</f>
        <v>2021</v>
      </c>
      <c r="J181" s="43" t="str">
        <f>TEXT(tbl_dashboard[[#This Row],[Fecha]],"mmmm")</f>
        <v>Julio</v>
      </c>
      <c r="K181" s="43">
        <f>WEEKNUM(tbl_dashboard[[#This Row],[Fecha]],2)</f>
        <v>31</v>
      </c>
    </row>
    <row r="182" spans="2:11" x14ac:dyDescent="0.2">
      <c r="B182" s="75">
        <v>44402</v>
      </c>
      <c r="C182" s="43" t="s">
        <v>186</v>
      </c>
      <c r="D182" s="43" t="s">
        <v>165</v>
      </c>
      <c r="E182" s="43" t="s">
        <v>162</v>
      </c>
      <c r="F182" s="43" t="s">
        <v>169</v>
      </c>
      <c r="G182" s="43">
        <v>10457</v>
      </c>
      <c r="H182" s="43">
        <v>3764.52</v>
      </c>
      <c r="I182" s="43">
        <f>YEAR(tbl_dashboard[[#This Row],[Fecha]])</f>
        <v>2021</v>
      </c>
      <c r="J182" s="43" t="str">
        <f>TEXT(tbl_dashboard[[#This Row],[Fecha]],"mmmm")</f>
        <v>Julio</v>
      </c>
      <c r="K182" s="43">
        <f>WEEKNUM(tbl_dashboard[[#This Row],[Fecha]],2)</f>
        <v>30</v>
      </c>
    </row>
    <row r="183" spans="2:11" x14ac:dyDescent="0.2">
      <c r="B183" s="75">
        <v>44402</v>
      </c>
      <c r="C183" s="43" t="s">
        <v>187</v>
      </c>
      <c r="D183" s="43" t="s">
        <v>165</v>
      </c>
      <c r="E183" s="43" t="s">
        <v>162</v>
      </c>
      <c r="F183" s="43" t="s">
        <v>169</v>
      </c>
      <c r="G183" s="43">
        <v>5309</v>
      </c>
      <c r="H183" s="43">
        <v>1539.61</v>
      </c>
      <c r="I183" s="43">
        <f>YEAR(tbl_dashboard[[#This Row],[Fecha]])</f>
        <v>2021</v>
      </c>
      <c r="J183" s="43" t="str">
        <f>TEXT(tbl_dashboard[[#This Row],[Fecha]],"mmmm")</f>
        <v>Julio</v>
      </c>
      <c r="K183" s="43">
        <f>WEEKNUM(tbl_dashboard[[#This Row],[Fecha]],2)</f>
        <v>30</v>
      </c>
    </row>
    <row r="184" spans="2:11" x14ac:dyDescent="0.2">
      <c r="B184" s="75">
        <v>44402</v>
      </c>
      <c r="C184" s="43" t="s">
        <v>188</v>
      </c>
      <c r="D184" s="43" t="s">
        <v>161</v>
      </c>
      <c r="E184" s="43" t="s">
        <v>166</v>
      </c>
      <c r="F184" s="43" t="s">
        <v>169</v>
      </c>
      <c r="G184" s="43">
        <v>9027</v>
      </c>
      <c r="H184" s="43">
        <v>1534.59</v>
      </c>
      <c r="I184" s="43">
        <f>YEAR(tbl_dashboard[[#This Row],[Fecha]])</f>
        <v>2021</v>
      </c>
      <c r="J184" s="43" t="str">
        <f>TEXT(tbl_dashboard[[#This Row],[Fecha]],"mmmm")</f>
        <v>Julio</v>
      </c>
      <c r="K184" s="43">
        <f>WEEKNUM(tbl_dashboard[[#This Row],[Fecha]],2)</f>
        <v>30</v>
      </c>
    </row>
    <row r="185" spans="2:11" x14ac:dyDescent="0.2">
      <c r="B185" s="75">
        <v>44402</v>
      </c>
      <c r="C185" s="43" t="s">
        <v>189</v>
      </c>
      <c r="D185" s="43" t="s">
        <v>165</v>
      </c>
      <c r="E185" s="43" t="s">
        <v>166</v>
      </c>
      <c r="F185" s="43" t="s">
        <v>169</v>
      </c>
      <c r="G185" s="43">
        <v>8025</v>
      </c>
      <c r="H185" s="43">
        <v>2327.25</v>
      </c>
      <c r="I185" s="43">
        <f>YEAR(tbl_dashboard[[#This Row],[Fecha]])</f>
        <v>2021</v>
      </c>
      <c r="J185" s="43" t="str">
        <f>TEXT(tbl_dashboard[[#This Row],[Fecha]],"mmmm")</f>
        <v>Julio</v>
      </c>
      <c r="K185" s="43">
        <f>WEEKNUM(tbl_dashboard[[#This Row],[Fecha]],2)</f>
        <v>30</v>
      </c>
    </row>
    <row r="186" spans="2:11" x14ac:dyDescent="0.2">
      <c r="B186" s="75">
        <v>44401</v>
      </c>
      <c r="C186" s="43" t="s">
        <v>190</v>
      </c>
      <c r="D186" s="43" t="s">
        <v>168</v>
      </c>
      <c r="E186" s="43" t="s">
        <v>162</v>
      </c>
      <c r="F186" s="43" t="s">
        <v>169</v>
      </c>
      <c r="G186" s="43">
        <v>7478</v>
      </c>
      <c r="H186" s="43">
        <v>1196.48</v>
      </c>
      <c r="I186" s="43">
        <f>YEAR(tbl_dashboard[[#This Row],[Fecha]])</f>
        <v>2021</v>
      </c>
      <c r="J186" s="43" t="str">
        <f>TEXT(tbl_dashboard[[#This Row],[Fecha]],"mmmm")</f>
        <v>Julio</v>
      </c>
      <c r="K186" s="43">
        <f>WEEKNUM(tbl_dashboard[[#This Row],[Fecha]],2)</f>
        <v>30</v>
      </c>
    </row>
    <row r="187" spans="2:11" x14ac:dyDescent="0.2">
      <c r="B187" s="75">
        <v>44401</v>
      </c>
      <c r="C187" s="43" t="s">
        <v>191</v>
      </c>
      <c r="D187" s="43" t="s">
        <v>161</v>
      </c>
      <c r="E187" s="43" t="s">
        <v>166</v>
      </c>
      <c r="F187" s="43" t="s">
        <v>163</v>
      </c>
      <c r="G187" s="43">
        <v>5954</v>
      </c>
      <c r="H187" s="43">
        <v>2083.9</v>
      </c>
      <c r="I187" s="43">
        <f>YEAR(tbl_dashboard[[#This Row],[Fecha]])</f>
        <v>2021</v>
      </c>
      <c r="J187" s="43" t="str">
        <f>TEXT(tbl_dashboard[[#This Row],[Fecha]],"mmmm")</f>
        <v>Julio</v>
      </c>
      <c r="K187" s="43">
        <f>WEEKNUM(tbl_dashboard[[#This Row],[Fecha]],2)</f>
        <v>30</v>
      </c>
    </row>
    <row r="188" spans="2:11" x14ac:dyDescent="0.2">
      <c r="B188" s="75">
        <v>44401</v>
      </c>
      <c r="C188" s="43" t="s">
        <v>192</v>
      </c>
      <c r="D188" s="43" t="s">
        <v>165</v>
      </c>
      <c r="E188" s="43" t="s">
        <v>166</v>
      </c>
      <c r="F188" s="43" t="s">
        <v>163</v>
      </c>
      <c r="G188" s="43">
        <v>2689</v>
      </c>
      <c r="H188" s="43">
        <v>537.79999999999995</v>
      </c>
      <c r="I188" s="43">
        <f>YEAR(tbl_dashboard[[#This Row],[Fecha]])</f>
        <v>2021</v>
      </c>
      <c r="J188" s="43" t="str">
        <f>TEXT(tbl_dashboard[[#This Row],[Fecha]],"mmmm")</f>
        <v>Julio</v>
      </c>
      <c r="K188" s="43">
        <f>WEEKNUM(tbl_dashboard[[#This Row],[Fecha]],2)</f>
        <v>30</v>
      </c>
    </row>
    <row r="189" spans="2:11" x14ac:dyDescent="0.2">
      <c r="B189" s="75">
        <v>44439</v>
      </c>
      <c r="C189" s="43" t="s">
        <v>160</v>
      </c>
      <c r="D189" s="43" t="s">
        <v>165</v>
      </c>
      <c r="E189" s="43" t="s">
        <v>166</v>
      </c>
      <c r="F189" s="43" t="s">
        <v>169</v>
      </c>
      <c r="G189" s="43">
        <v>8196</v>
      </c>
      <c r="H189" s="43">
        <v>1475.28</v>
      </c>
      <c r="I189" s="43">
        <f>YEAR(tbl_dashboard[[#This Row],[Fecha]])</f>
        <v>2021</v>
      </c>
      <c r="J189" s="43" t="str">
        <f>TEXT(tbl_dashboard[[#This Row],[Fecha]],"mmmm")</f>
        <v>Agosto</v>
      </c>
      <c r="K189" s="43">
        <f>WEEKNUM(tbl_dashboard[[#This Row],[Fecha]],2)</f>
        <v>36</v>
      </c>
    </row>
    <row r="190" spans="2:11" x14ac:dyDescent="0.2">
      <c r="B190" s="75">
        <v>44439</v>
      </c>
      <c r="C190" s="43" t="s">
        <v>164</v>
      </c>
      <c r="D190" s="43" t="s">
        <v>161</v>
      </c>
      <c r="E190" s="43" t="s">
        <v>162</v>
      </c>
      <c r="F190" s="43" t="s">
        <v>169</v>
      </c>
      <c r="G190" s="43">
        <v>1703</v>
      </c>
      <c r="H190" s="43">
        <v>476.84</v>
      </c>
      <c r="I190" s="43">
        <f>YEAR(tbl_dashboard[[#This Row],[Fecha]])</f>
        <v>2021</v>
      </c>
      <c r="J190" s="43" t="str">
        <f>TEXT(tbl_dashboard[[#This Row],[Fecha]],"mmmm")</f>
        <v>Agosto</v>
      </c>
      <c r="K190" s="43">
        <f>WEEKNUM(tbl_dashboard[[#This Row],[Fecha]],2)</f>
        <v>36</v>
      </c>
    </row>
    <row r="191" spans="2:11" x14ac:dyDescent="0.2">
      <c r="B191" s="75">
        <v>44439</v>
      </c>
      <c r="C191" s="43" t="s">
        <v>167</v>
      </c>
      <c r="D191" s="43" t="s">
        <v>165</v>
      </c>
      <c r="E191" s="43" t="s">
        <v>162</v>
      </c>
      <c r="F191" s="43" t="s">
        <v>163</v>
      </c>
      <c r="G191" s="43">
        <v>9447</v>
      </c>
      <c r="H191" s="43">
        <v>3306.45</v>
      </c>
      <c r="I191" s="43">
        <f>YEAR(tbl_dashboard[[#This Row],[Fecha]])</f>
        <v>2021</v>
      </c>
      <c r="J191" s="43" t="str">
        <f>TEXT(tbl_dashboard[[#This Row],[Fecha]],"mmmm")</f>
        <v>Agosto</v>
      </c>
      <c r="K191" s="43">
        <f>WEEKNUM(tbl_dashboard[[#This Row],[Fecha]],2)</f>
        <v>36</v>
      </c>
    </row>
    <row r="192" spans="2:11" x14ac:dyDescent="0.2">
      <c r="B192" s="75">
        <v>44439</v>
      </c>
      <c r="C192" s="43" t="s">
        <v>170</v>
      </c>
      <c r="D192" s="43" t="s">
        <v>168</v>
      </c>
      <c r="E192" s="43" t="s">
        <v>162</v>
      </c>
      <c r="F192" s="43" t="s">
        <v>163</v>
      </c>
      <c r="G192" s="43">
        <v>4276</v>
      </c>
      <c r="H192" s="43">
        <v>684.16</v>
      </c>
      <c r="I192" s="43">
        <f>YEAR(tbl_dashboard[[#This Row],[Fecha]])</f>
        <v>2021</v>
      </c>
      <c r="J192" s="43" t="str">
        <f>TEXT(tbl_dashboard[[#This Row],[Fecha]],"mmmm")</f>
        <v>Agosto</v>
      </c>
      <c r="K192" s="43">
        <f>WEEKNUM(tbl_dashboard[[#This Row],[Fecha]],2)</f>
        <v>36</v>
      </c>
    </row>
    <row r="193" spans="2:11" x14ac:dyDescent="0.2">
      <c r="B193" s="75">
        <v>44438</v>
      </c>
      <c r="C193" s="43" t="s">
        <v>171</v>
      </c>
      <c r="D193" s="43" t="s">
        <v>161</v>
      </c>
      <c r="E193" s="43" t="s">
        <v>162</v>
      </c>
      <c r="F193" s="43" t="s">
        <v>169</v>
      </c>
      <c r="G193" s="43">
        <v>7855</v>
      </c>
      <c r="H193" s="43">
        <v>1178.25</v>
      </c>
      <c r="I193" s="43">
        <f>YEAR(tbl_dashboard[[#This Row],[Fecha]])</f>
        <v>2021</v>
      </c>
      <c r="J193" s="43" t="str">
        <f>TEXT(tbl_dashboard[[#This Row],[Fecha]],"mmmm")</f>
        <v>Agosto</v>
      </c>
      <c r="K193" s="43">
        <f>WEEKNUM(tbl_dashboard[[#This Row],[Fecha]],2)</f>
        <v>36</v>
      </c>
    </row>
    <row r="194" spans="2:11" x14ac:dyDescent="0.2">
      <c r="B194" s="75">
        <v>44434</v>
      </c>
      <c r="C194" s="43" t="s">
        <v>172</v>
      </c>
      <c r="D194" s="43" t="s">
        <v>165</v>
      </c>
      <c r="E194" s="43" t="s">
        <v>162</v>
      </c>
      <c r="F194" s="43" t="s">
        <v>163</v>
      </c>
      <c r="G194" s="43">
        <v>7401</v>
      </c>
      <c r="H194" s="43">
        <v>1184.1600000000001</v>
      </c>
      <c r="I194" s="43">
        <f>YEAR(tbl_dashboard[[#This Row],[Fecha]])</f>
        <v>2021</v>
      </c>
      <c r="J194" s="43" t="str">
        <f>TEXT(tbl_dashboard[[#This Row],[Fecha]],"mmmm")</f>
        <v>Agosto</v>
      </c>
      <c r="K194" s="43">
        <f>WEEKNUM(tbl_dashboard[[#This Row],[Fecha]],2)</f>
        <v>35</v>
      </c>
    </row>
    <row r="195" spans="2:11" x14ac:dyDescent="0.2">
      <c r="B195" s="75">
        <v>44433</v>
      </c>
      <c r="C195" s="43" t="s">
        <v>173</v>
      </c>
      <c r="D195" s="43" t="s">
        <v>168</v>
      </c>
      <c r="E195" s="43" t="s">
        <v>166</v>
      </c>
      <c r="F195" s="43" t="s">
        <v>169</v>
      </c>
      <c r="G195" s="43">
        <v>8563</v>
      </c>
      <c r="H195" s="43">
        <v>1455.71</v>
      </c>
      <c r="I195" s="43">
        <f>YEAR(tbl_dashboard[[#This Row],[Fecha]])</f>
        <v>2021</v>
      </c>
      <c r="J195" s="43" t="str">
        <f>TEXT(tbl_dashboard[[#This Row],[Fecha]],"mmmm")</f>
        <v>Agosto</v>
      </c>
      <c r="K195" s="43">
        <f>WEEKNUM(tbl_dashboard[[#This Row],[Fecha]],2)</f>
        <v>35</v>
      </c>
    </row>
    <row r="196" spans="2:11" x14ac:dyDescent="0.2">
      <c r="B196" s="75">
        <v>44433</v>
      </c>
      <c r="C196" s="43" t="s">
        <v>174</v>
      </c>
      <c r="D196" s="43" t="s">
        <v>168</v>
      </c>
      <c r="E196" s="43" t="s">
        <v>166</v>
      </c>
      <c r="F196" s="43" t="s">
        <v>169</v>
      </c>
      <c r="G196" s="43">
        <v>9559</v>
      </c>
      <c r="H196" s="43">
        <v>3058.88</v>
      </c>
      <c r="I196" s="43">
        <f>YEAR(tbl_dashboard[[#This Row],[Fecha]])</f>
        <v>2021</v>
      </c>
      <c r="J196" s="43" t="str">
        <f>TEXT(tbl_dashboard[[#This Row],[Fecha]],"mmmm")</f>
        <v>Agosto</v>
      </c>
      <c r="K196" s="43">
        <f>WEEKNUM(tbl_dashboard[[#This Row],[Fecha]],2)</f>
        <v>35</v>
      </c>
    </row>
    <row r="197" spans="2:11" x14ac:dyDescent="0.2">
      <c r="B197" s="75">
        <v>44433</v>
      </c>
      <c r="C197" s="43" t="s">
        <v>175</v>
      </c>
      <c r="D197" s="43" t="s">
        <v>165</v>
      </c>
      <c r="E197" s="43" t="s">
        <v>162</v>
      </c>
      <c r="F197" s="43" t="s">
        <v>169</v>
      </c>
      <c r="G197" s="43">
        <v>2378</v>
      </c>
      <c r="H197" s="43">
        <v>951.2</v>
      </c>
      <c r="I197" s="43">
        <f>YEAR(tbl_dashboard[[#This Row],[Fecha]])</f>
        <v>2021</v>
      </c>
      <c r="J197" s="43" t="str">
        <f>TEXT(tbl_dashboard[[#This Row],[Fecha]],"mmmm")</f>
        <v>Agosto</v>
      </c>
      <c r="K197" s="43">
        <f>WEEKNUM(tbl_dashboard[[#This Row],[Fecha]],2)</f>
        <v>35</v>
      </c>
    </row>
    <row r="198" spans="2:11" x14ac:dyDescent="0.2">
      <c r="B198" s="75">
        <v>44433</v>
      </c>
      <c r="C198" s="43" t="s">
        <v>176</v>
      </c>
      <c r="D198" s="43" t="s">
        <v>165</v>
      </c>
      <c r="E198" s="43" t="s">
        <v>162</v>
      </c>
      <c r="F198" s="43" t="s">
        <v>169</v>
      </c>
      <c r="G198" s="43">
        <v>6719</v>
      </c>
      <c r="H198" s="43">
        <v>1142.23</v>
      </c>
      <c r="I198" s="43">
        <f>YEAR(tbl_dashboard[[#This Row],[Fecha]])</f>
        <v>2021</v>
      </c>
      <c r="J198" s="43" t="str">
        <f>TEXT(tbl_dashboard[[#This Row],[Fecha]],"mmmm")</f>
        <v>Agosto</v>
      </c>
      <c r="K198" s="43">
        <f>WEEKNUM(tbl_dashboard[[#This Row],[Fecha]],2)</f>
        <v>35</v>
      </c>
    </row>
    <row r="199" spans="2:11" x14ac:dyDescent="0.2">
      <c r="B199" s="75">
        <v>44432</v>
      </c>
      <c r="C199" s="43" t="s">
        <v>177</v>
      </c>
      <c r="D199" s="43" t="s">
        <v>165</v>
      </c>
      <c r="E199" s="43" t="s">
        <v>166</v>
      </c>
      <c r="F199" s="43" t="s">
        <v>169</v>
      </c>
      <c r="G199" s="43">
        <v>3667</v>
      </c>
      <c r="H199" s="43">
        <v>843.41</v>
      </c>
      <c r="I199" s="43">
        <f>YEAR(tbl_dashboard[[#This Row],[Fecha]])</f>
        <v>2021</v>
      </c>
      <c r="J199" s="43" t="str">
        <f>TEXT(tbl_dashboard[[#This Row],[Fecha]],"mmmm")</f>
        <v>Agosto</v>
      </c>
      <c r="K199" s="43">
        <f>WEEKNUM(tbl_dashboard[[#This Row],[Fecha]],2)</f>
        <v>35</v>
      </c>
    </row>
    <row r="200" spans="2:11" x14ac:dyDescent="0.2">
      <c r="B200" s="75">
        <v>44438</v>
      </c>
      <c r="C200" s="43" t="s">
        <v>178</v>
      </c>
      <c r="D200" s="43" t="s">
        <v>161</v>
      </c>
      <c r="E200" s="43" t="s">
        <v>166</v>
      </c>
      <c r="F200" s="43" t="s">
        <v>163</v>
      </c>
      <c r="G200" s="43">
        <v>10977</v>
      </c>
      <c r="H200" s="43">
        <v>3073.56</v>
      </c>
      <c r="I200" s="43">
        <f>YEAR(tbl_dashboard[[#This Row],[Fecha]])</f>
        <v>2021</v>
      </c>
      <c r="J200" s="43" t="str">
        <f>TEXT(tbl_dashboard[[#This Row],[Fecha]],"mmmm")</f>
        <v>Agosto</v>
      </c>
      <c r="K200" s="43">
        <f>WEEKNUM(tbl_dashboard[[#This Row],[Fecha]],2)</f>
        <v>36</v>
      </c>
    </row>
    <row r="201" spans="2:11" x14ac:dyDescent="0.2">
      <c r="B201" s="75">
        <v>44438</v>
      </c>
      <c r="C201" s="43" t="s">
        <v>179</v>
      </c>
      <c r="D201" s="43" t="s">
        <v>161</v>
      </c>
      <c r="E201" s="43" t="s">
        <v>162</v>
      </c>
      <c r="F201" s="43" t="s">
        <v>163</v>
      </c>
      <c r="G201" s="43">
        <v>8714</v>
      </c>
      <c r="H201" s="43">
        <v>3659.88</v>
      </c>
      <c r="I201" s="43">
        <f>YEAR(tbl_dashboard[[#This Row],[Fecha]])</f>
        <v>2021</v>
      </c>
      <c r="J201" s="43" t="str">
        <f>TEXT(tbl_dashboard[[#This Row],[Fecha]],"mmmm")</f>
        <v>Agosto</v>
      </c>
      <c r="K201" s="43">
        <f>WEEKNUM(tbl_dashboard[[#This Row],[Fecha]],2)</f>
        <v>36</v>
      </c>
    </row>
    <row r="202" spans="2:11" x14ac:dyDescent="0.2">
      <c r="B202" s="75">
        <v>44438</v>
      </c>
      <c r="C202" s="43" t="s">
        <v>180</v>
      </c>
      <c r="D202" s="43" t="s">
        <v>165</v>
      </c>
      <c r="E202" s="43" t="s">
        <v>162</v>
      </c>
      <c r="F202" s="43" t="s">
        <v>169</v>
      </c>
      <c r="G202" s="43">
        <v>9359</v>
      </c>
      <c r="H202" s="43">
        <v>2901.29</v>
      </c>
      <c r="I202" s="43">
        <f>YEAR(tbl_dashboard[[#This Row],[Fecha]])</f>
        <v>2021</v>
      </c>
      <c r="J202" s="43" t="str">
        <f>TEXT(tbl_dashboard[[#This Row],[Fecha]],"mmmm")</f>
        <v>Agosto</v>
      </c>
      <c r="K202" s="43">
        <f>WEEKNUM(tbl_dashboard[[#This Row],[Fecha]],2)</f>
        <v>36</v>
      </c>
    </row>
    <row r="203" spans="2:11" x14ac:dyDescent="0.2">
      <c r="B203" s="75">
        <v>44469</v>
      </c>
      <c r="C203" s="43" t="s">
        <v>160</v>
      </c>
      <c r="D203" s="43" t="s">
        <v>168</v>
      </c>
      <c r="E203" s="43" t="s">
        <v>166</v>
      </c>
      <c r="F203" s="43" t="s">
        <v>169</v>
      </c>
      <c r="G203" s="43">
        <v>2665</v>
      </c>
      <c r="H203" s="43">
        <v>852.8</v>
      </c>
      <c r="I203" s="43">
        <f>YEAR(tbl_dashboard[[#This Row],[Fecha]])</f>
        <v>2021</v>
      </c>
      <c r="J203" s="43" t="str">
        <f>TEXT(tbl_dashboard[[#This Row],[Fecha]],"mmmm")</f>
        <v>Setiembre</v>
      </c>
      <c r="K203" s="43">
        <f>WEEKNUM(tbl_dashboard[[#This Row],[Fecha]],2)</f>
        <v>40</v>
      </c>
    </row>
    <row r="204" spans="2:11" x14ac:dyDescent="0.2">
      <c r="B204" s="75">
        <v>44469</v>
      </c>
      <c r="C204" s="43" t="s">
        <v>164</v>
      </c>
      <c r="D204" s="43" t="s">
        <v>168</v>
      </c>
      <c r="E204" s="43" t="s">
        <v>162</v>
      </c>
      <c r="F204" s="43" t="s">
        <v>163</v>
      </c>
      <c r="G204" s="43">
        <v>10350</v>
      </c>
      <c r="H204" s="43">
        <v>3933</v>
      </c>
      <c r="I204" s="43">
        <f>YEAR(tbl_dashboard[[#This Row],[Fecha]])</f>
        <v>2021</v>
      </c>
      <c r="J204" s="43" t="str">
        <f>TEXT(tbl_dashboard[[#This Row],[Fecha]],"mmmm")</f>
        <v>Setiembre</v>
      </c>
      <c r="K204" s="43">
        <f>WEEKNUM(tbl_dashboard[[#This Row],[Fecha]],2)</f>
        <v>40</v>
      </c>
    </row>
    <row r="205" spans="2:11" x14ac:dyDescent="0.2">
      <c r="B205" s="75">
        <v>44469</v>
      </c>
      <c r="C205" s="43" t="s">
        <v>167</v>
      </c>
      <c r="D205" s="43" t="s">
        <v>165</v>
      </c>
      <c r="E205" s="43" t="s">
        <v>162</v>
      </c>
      <c r="F205" s="43" t="s">
        <v>163</v>
      </c>
      <c r="G205" s="43">
        <v>7586</v>
      </c>
      <c r="H205" s="43">
        <v>1213.76</v>
      </c>
      <c r="I205" s="43">
        <f>YEAR(tbl_dashboard[[#This Row],[Fecha]])</f>
        <v>2021</v>
      </c>
      <c r="J205" s="43" t="str">
        <f>TEXT(tbl_dashboard[[#This Row],[Fecha]],"mmmm")</f>
        <v>Setiembre</v>
      </c>
      <c r="K205" s="43">
        <f>WEEKNUM(tbl_dashboard[[#This Row],[Fecha]],2)</f>
        <v>40</v>
      </c>
    </row>
    <row r="206" spans="2:11" x14ac:dyDescent="0.2">
      <c r="B206" s="75">
        <v>44469</v>
      </c>
      <c r="C206" s="43" t="s">
        <v>170</v>
      </c>
      <c r="D206" s="43" t="s">
        <v>165</v>
      </c>
      <c r="E206" s="43" t="s">
        <v>162</v>
      </c>
      <c r="F206" s="43" t="s">
        <v>169</v>
      </c>
      <c r="G206" s="43">
        <v>10015</v>
      </c>
      <c r="H206" s="43">
        <v>2603.9</v>
      </c>
      <c r="I206" s="43">
        <f>YEAR(tbl_dashboard[[#This Row],[Fecha]])</f>
        <v>2021</v>
      </c>
      <c r="J206" s="43" t="str">
        <f>TEXT(tbl_dashboard[[#This Row],[Fecha]],"mmmm")</f>
        <v>Setiembre</v>
      </c>
      <c r="K206" s="43">
        <f>WEEKNUM(tbl_dashboard[[#This Row],[Fecha]],2)</f>
        <v>40</v>
      </c>
    </row>
    <row r="207" spans="2:11" x14ac:dyDescent="0.2">
      <c r="B207" s="75">
        <v>44465</v>
      </c>
      <c r="C207" s="43" t="s">
        <v>171</v>
      </c>
      <c r="D207" s="43" t="s">
        <v>165</v>
      </c>
      <c r="E207" s="43" t="s">
        <v>166</v>
      </c>
      <c r="F207" s="43" t="s">
        <v>163</v>
      </c>
      <c r="G207" s="43">
        <v>10572</v>
      </c>
      <c r="H207" s="43">
        <v>4123.08</v>
      </c>
      <c r="I207" s="43">
        <f>YEAR(tbl_dashboard[[#This Row],[Fecha]])</f>
        <v>2021</v>
      </c>
      <c r="J207" s="43" t="str">
        <f>TEXT(tbl_dashboard[[#This Row],[Fecha]],"mmmm")</f>
        <v>Setiembre</v>
      </c>
      <c r="K207" s="43">
        <f>WEEKNUM(tbl_dashboard[[#This Row],[Fecha]],2)</f>
        <v>39</v>
      </c>
    </row>
    <row r="208" spans="2:11" x14ac:dyDescent="0.2">
      <c r="B208" s="75">
        <v>44464</v>
      </c>
      <c r="C208" s="43" t="s">
        <v>172</v>
      </c>
      <c r="D208" s="43" t="s">
        <v>161</v>
      </c>
      <c r="E208" s="43" t="s">
        <v>166</v>
      </c>
      <c r="F208" s="43" t="s">
        <v>169</v>
      </c>
      <c r="G208" s="43">
        <v>7895</v>
      </c>
      <c r="H208" s="43">
        <v>1894.8</v>
      </c>
      <c r="I208" s="43">
        <f>YEAR(tbl_dashboard[[#This Row],[Fecha]])</f>
        <v>2021</v>
      </c>
      <c r="J208" s="43" t="str">
        <f>TEXT(tbl_dashboard[[#This Row],[Fecha]],"mmmm")</f>
        <v>Setiembre</v>
      </c>
      <c r="K208" s="43">
        <f>WEEKNUM(tbl_dashboard[[#This Row],[Fecha]],2)</f>
        <v>39</v>
      </c>
    </row>
    <row r="209" spans="2:11" x14ac:dyDescent="0.2">
      <c r="B209" s="75">
        <v>44464</v>
      </c>
      <c r="C209" s="43" t="s">
        <v>173</v>
      </c>
      <c r="D209" s="43" t="s">
        <v>165</v>
      </c>
      <c r="E209" s="43" t="s">
        <v>162</v>
      </c>
      <c r="F209" s="43" t="s">
        <v>169</v>
      </c>
      <c r="G209" s="43">
        <v>3811</v>
      </c>
      <c r="H209" s="43">
        <v>1181.4100000000001</v>
      </c>
      <c r="I209" s="43">
        <f>YEAR(tbl_dashboard[[#This Row],[Fecha]])</f>
        <v>2021</v>
      </c>
      <c r="J209" s="43" t="str">
        <f>TEXT(tbl_dashboard[[#This Row],[Fecha]],"mmmm")</f>
        <v>Setiembre</v>
      </c>
      <c r="K209" s="43">
        <f>WEEKNUM(tbl_dashboard[[#This Row],[Fecha]],2)</f>
        <v>39</v>
      </c>
    </row>
    <row r="210" spans="2:11" x14ac:dyDescent="0.2">
      <c r="B210" s="75">
        <v>44464</v>
      </c>
      <c r="C210" s="43" t="s">
        <v>174</v>
      </c>
      <c r="D210" s="43" t="s">
        <v>165</v>
      </c>
      <c r="E210" s="43" t="s">
        <v>166</v>
      </c>
      <c r="F210" s="43" t="s">
        <v>169</v>
      </c>
      <c r="G210" s="43">
        <v>7170</v>
      </c>
      <c r="H210" s="43">
        <v>1649.1</v>
      </c>
      <c r="I210" s="43">
        <f>YEAR(tbl_dashboard[[#This Row],[Fecha]])</f>
        <v>2021</v>
      </c>
      <c r="J210" s="43" t="str">
        <f>TEXT(tbl_dashboard[[#This Row],[Fecha]],"mmmm")</f>
        <v>Setiembre</v>
      </c>
      <c r="K210" s="43">
        <f>WEEKNUM(tbl_dashboard[[#This Row],[Fecha]],2)</f>
        <v>39</v>
      </c>
    </row>
    <row r="211" spans="2:11" x14ac:dyDescent="0.2">
      <c r="B211" s="75">
        <v>44464</v>
      </c>
      <c r="C211" s="43" t="s">
        <v>175</v>
      </c>
      <c r="D211" s="43" t="s">
        <v>168</v>
      </c>
      <c r="E211" s="43" t="s">
        <v>166</v>
      </c>
      <c r="F211" s="43" t="s">
        <v>169</v>
      </c>
      <c r="G211" s="43">
        <v>2222</v>
      </c>
      <c r="H211" s="43">
        <v>577.72</v>
      </c>
      <c r="I211" s="43">
        <f>YEAR(tbl_dashboard[[#This Row],[Fecha]])</f>
        <v>2021</v>
      </c>
      <c r="J211" s="43" t="str">
        <f>TEXT(tbl_dashboard[[#This Row],[Fecha]],"mmmm")</f>
        <v>Setiembre</v>
      </c>
      <c r="K211" s="43">
        <f>WEEKNUM(tbl_dashboard[[#This Row],[Fecha]],2)</f>
        <v>39</v>
      </c>
    </row>
    <row r="212" spans="2:11" x14ac:dyDescent="0.2">
      <c r="B212" s="75">
        <v>44463</v>
      </c>
      <c r="C212" s="43" t="s">
        <v>176</v>
      </c>
      <c r="D212" s="43" t="s">
        <v>165</v>
      </c>
      <c r="E212" s="43" t="s">
        <v>162</v>
      </c>
      <c r="F212" s="43" t="s">
        <v>169</v>
      </c>
      <c r="G212" s="43">
        <v>2244</v>
      </c>
      <c r="H212" s="43">
        <v>538.55999999999995</v>
      </c>
      <c r="I212" s="43">
        <f>YEAR(tbl_dashboard[[#This Row],[Fecha]])</f>
        <v>2021</v>
      </c>
      <c r="J212" s="43" t="str">
        <f>TEXT(tbl_dashboard[[#This Row],[Fecha]],"mmmm")</f>
        <v>Setiembre</v>
      </c>
      <c r="K212" s="43">
        <f>WEEKNUM(tbl_dashboard[[#This Row],[Fecha]],2)</f>
        <v>39</v>
      </c>
    </row>
    <row r="213" spans="2:11" x14ac:dyDescent="0.2">
      <c r="B213" s="75">
        <v>44463</v>
      </c>
      <c r="C213" s="43" t="s">
        <v>177</v>
      </c>
      <c r="D213" s="43" t="s">
        <v>161</v>
      </c>
      <c r="E213" s="43" t="s">
        <v>162</v>
      </c>
      <c r="F213" s="43" t="s">
        <v>163</v>
      </c>
      <c r="G213" s="43">
        <v>11396</v>
      </c>
      <c r="H213" s="43">
        <v>1709.4</v>
      </c>
      <c r="I213" s="43">
        <f>YEAR(tbl_dashboard[[#This Row],[Fecha]])</f>
        <v>2021</v>
      </c>
      <c r="J213" s="43" t="str">
        <f>TEXT(tbl_dashboard[[#This Row],[Fecha]],"mmmm")</f>
        <v>Setiembre</v>
      </c>
      <c r="K213" s="43">
        <f>WEEKNUM(tbl_dashboard[[#This Row],[Fecha]],2)</f>
        <v>39</v>
      </c>
    </row>
    <row r="214" spans="2:11" x14ac:dyDescent="0.2">
      <c r="B214" s="75">
        <v>44463</v>
      </c>
      <c r="C214" s="43" t="s">
        <v>178</v>
      </c>
      <c r="D214" s="43" t="s">
        <v>161</v>
      </c>
      <c r="E214" s="43" t="s">
        <v>162</v>
      </c>
      <c r="F214" s="43" t="s">
        <v>163</v>
      </c>
      <c r="G214" s="43">
        <v>11979</v>
      </c>
      <c r="H214" s="43">
        <v>3234.33</v>
      </c>
      <c r="I214" s="43">
        <f>YEAR(tbl_dashboard[[#This Row],[Fecha]])</f>
        <v>2021</v>
      </c>
      <c r="J214" s="43" t="str">
        <f>TEXT(tbl_dashboard[[#This Row],[Fecha]],"mmmm")</f>
        <v>Setiembre</v>
      </c>
      <c r="K214" s="43">
        <f>WEEKNUM(tbl_dashboard[[#This Row],[Fecha]],2)</f>
        <v>39</v>
      </c>
    </row>
    <row r="215" spans="2:11" x14ac:dyDescent="0.2">
      <c r="B215" s="75">
        <v>44463</v>
      </c>
      <c r="C215" s="43" t="s">
        <v>179</v>
      </c>
      <c r="D215" s="43" t="s">
        <v>161</v>
      </c>
      <c r="E215" s="43" t="s">
        <v>162</v>
      </c>
      <c r="F215" s="43" t="s">
        <v>169</v>
      </c>
      <c r="G215" s="43">
        <v>11187</v>
      </c>
      <c r="H215" s="43">
        <v>2573.0100000000002</v>
      </c>
      <c r="I215" s="43">
        <f>YEAR(tbl_dashboard[[#This Row],[Fecha]])</f>
        <v>2021</v>
      </c>
      <c r="J215" s="43" t="str">
        <f>TEXT(tbl_dashboard[[#This Row],[Fecha]],"mmmm")</f>
        <v>Setiembre</v>
      </c>
      <c r="K215" s="43">
        <f>WEEKNUM(tbl_dashboard[[#This Row],[Fecha]],2)</f>
        <v>39</v>
      </c>
    </row>
    <row r="216" spans="2:11" x14ac:dyDescent="0.2">
      <c r="B216" s="75">
        <v>44463</v>
      </c>
      <c r="C216" s="43" t="s">
        <v>180</v>
      </c>
      <c r="D216" s="43" t="s">
        <v>168</v>
      </c>
      <c r="E216" s="43" t="s">
        <v>162</v>
      </c>
      <c r="F216" s="43" t="s">
        <v>169</v>
      </c>
      <c r="G216" s="43">
        <v>6047</v>
      </c>
      <c r="H216" s="43">
        <v>1088.46</v>
      </c>
      <c r="I216" s="43">
        <f>YEAR(tbl_dashboard[[#This Row],[Fecha]])</f>
        <v>2021</v>
      </c>
      <c r="J216" s="43" t="str">
        <f>TEXT(tbl_dashboard[[#This Row],[Fecha]],"mmmm")</f>
        <v>Setiembre</v>
      </c>
      <c r="K216" s="43">
        <f>WEEKNUM(tbl_dashboard[[#This Row],[Fecha]],2)</f>
        <v>39</v>
      </c>
    </row>
    <row r="217" spans="2:11" x14ac:dyDescent="0.2">
      <c r="B217" s="75">
        <v>44463</v>
      </c>
      <c r="C217" s="43" t="s">
        <v>181</v>
      </c>
      <c r="D217" s="43" t="s">
        <v>161</v>
      </c>
      <c r="E217" s="43" t="s">
        <v>166</v>
      </c>
      <c r="F217" s="43" t="s">
        <v>163</v>
      </c>
      <c r="G217" s="43">
        <v>7204</v>
      </c>
      <c r="H217" s="43">
        <v>2305.2800000000002</v>
      </c>
      <c r="I217" s="43">
        <f>YEAR(tbl_dashboard[[#This Row],[Fecha]])</f>
        <v>2021</v>
      </c>
      <c r="J217" s="43" t="str">
        <f>TEXT(tbl_dashboard[[#This Row],[Fecha]],"mmmm")</f>
        <v>Setiembre</v>
      </c>
      <c r="K217" s="43">
        <f>WEEKNUM(tbl_dashboard[[#This Row],[Fecha]],2)</f>
        <v>39</v>
      </c>
    </row>
    <row r="218" spans="2:11" x14ac:dyDescent="0.2">
      <c r="B218" s="75">
        <v>44463</v>
      </c>
      <c r="C218" s="43" t="s">
        <v>182</v>
      </c>
      <c r="D218" s="43" t="s">
        <v>161</v>
      </c>
      <c r="E218" s="43" t="s">
        <v>162</v>
      </c>
      <c r="F218" s="43" t="s">
        <v>163</v>
      </c>
      <c r="G218" s="43">
        <v>7091</v>
      </c>
      <c r="H218" s="43">
        <v>2765.49</v>
      </c>
      <c r="I218" s="43">
        <f>YEAR(tbl_dashboard[[#This Row],[Fecha]])</f>
        <v>2021</v>
      </c>
      <c r="J218" s="43" t="str">
        <f>TEXT(tbl_dashboard[[#This Row],[Fecha]],"mmmm")</f>
        <v>Setiembre</v>
      </c>
      <c r="K218" s="43">
        <f>WEEKNUM(tbl_dashboard[[#This Row],[Fecha]],2)</f>
        <v>39</v>
      </c>
    </row>
    <row r="219" spans="2:11" x14ac:dyDescent="0.2">
      <c r="B219" s="75">
        <v>44469</v>
      </c>
      <c r="C219" s="43" t="s">
        <v>183</v>
      </c>
      <c r="D219" s="43" t="s">
        <v>168</v>
      </c>
      <c r="E219" s="43" t="s">
        <v>166</v>
      </c>
      <c r="F219" s="43" t="s">
        <v>169</v>
      </c>
      <c r="G219" s="43">
        <v>5323</v>
      </c>
      <c r="H219" s="43">
        <v>2182.4299999999998</v>
      </c>
      <c r="I219" s="43">
        <f>YEAR(tbl_dashboard[[#This Row],[Fecha]])</f>
        <v>2021</v>
      </c>
      <c r="J219" s="43" t="str">
        <f>TEXT(tbl_dashboard[[#This Row],[Fecha]],"mmmm")</f>
        <v>Setiembre</v>
      </c>
      <c r="K219" s="43">
        <f>WEEKNUM(tbl_dashboard[[#This Row],[Fecha]],2)</f>
        <v>40</v>
      </c>
    </row>
    <row r="220" spans="2:11" x14ac:dyDescent="0.2">
      <c r="B220" s="75">
        <v>44465</v>
      </c>
      <c r="C220" s="43" t="s">
        <v>184</v>
      </c>
      <c r="D220" s="43" t="s">
        <v>161</v>
      </c>
      <c r="E220" s="43" t="s">
        <v>162</v>
      </c>
      <c r="F220" s="43" t="s">
        <v>163</v>
      </c>
      <c r="G220" s="43">
        <v>9003</v>
      </c>
      <c r="H220" s="43">
        <v>3961.32</v>
      </c>
      <c r="I220" s="43">
        <f>YEAR(tbl_dashboard[[#This Row],[Fecha]])</f>
        <v>2021</v>
      </c>
      <c r="J220" s="43" t="str">
        <f>TEXT(tbl_dashboard[[#This Row],[Fecha]],"mmmm")</f>
        <v>Setiembre</v>
      </c>
      <c r="K220" s="43">
        <f>WEEKNUM(tbl_dashboard[[#This Row],[Fecha]],2)</f>
        <v>39</v>
      </c>
    </row>
    <row r="221" spans="2:11" x14ac:dyDescent="0.2">
      <c r="B221" s="75">
        <v>44464</v>
      </c>
      <c r="C221" s="43" t="s">
        <v>185</v>
      </c>
      <c r="D221" s="43" t="s">
        <v>168</v>
      </c>
      <c r="E221" s="43" t="s">
        <v>166</v>
      </c>
      <c r="F221" s="43" t="s">
        <v>169</v>
      </c>
      <c r="G221" s="43">
        <v>4174</v>
      </c>
      <c r="H221" s="43">
        <v>1043.5</v>
      </c>
      <c r="I221" s="43">
        <f>YEAR(tbl_dashboard[[#This Row],[Fecha]])</f>
        <v>2021</v>
      </c>
      <c r="J221" s="43" t="str">
        <f>TEXT(tbl_dashboard[[#This Row],[Fecha]],"mmmm")</f>
        <v>Setiembre</v>
      </c>
      <c r="K221" s="43">
        <f>WEEKNUM(tbl_dashboard[[#This Row],[Fecha]],2)</f>
        <v>39</v>
      </c>
    </row>
    <row r="222" spans="2:11" x14ac:dyDescent="0.2">
      <c r="B222" s="75">
        <v>44464</v>
      </c>
      <c r="C222" s="43" t="s">
        <v>186</v>
      </c>
      <c r="D222" s="43" t="s">
        <v>168</v>
      </c>
      <c r="E222" s="43" t="s">
        <v>162</v>
      </c>
      <c r="F222" s="43" t="s">
        <v>169</v>
      </c>
      <c r="G222" s="43">
        <v>8395</v>
      </c>
      <c r="H222" s="43">
        <v>1259.25</v>
      </c>
      <c r="I222" s="43">
        <f>YEAR(tbl_dashboard[[#This Row],[Fecha]])</f>
        <v>2021</v>
      </c>
      <c r="J222" s="43" t="str">
        <f>TEXT(tbl_dashboard[[#This Row],[Fecha]],"mmmm")</f>
        <v>Setiembre</v>
      </c>
      <c r="K222" s="43">
        <f>WEEKNUM(tbl_dashboard[[#This Row],[Fecha]],2)</f>
        <v>39</v>
      </c>
    </row>
    <row r="223" spans="2:11" x14ac:dyDescent="0.2">
      <c r="B223" s="75">
        <v>44464</v>
      </c>
      <c r="C223" s="43" t="s">
        <v>187</v>
      </c>
      <c r="D223" s="43" t="s">
        <v>168</v>
      </c>
      <c r="E223" s="43" t="s">
        <v>166</v>
      </c>
      <c r="F223" s="43" t="s">
        <v>169</v>
      </c>
      <c r="G223" s="43">
        <v>7401</v>
      </c>
      <c r="H223" s="43">
        <v>1110.1500000000001</v>
      </c>
      <c r="I223" s="43">
        <f>YEAR(tbl_dashboard[[#This Row],[Fecha]])</f>
        <v>2021</v>
      </c>
      <c r="J223" s="43" t="str">
        <f>TEXT(tbl_dashboard[[#This Row],[Fecha]],"mmmm")</f>
        <v>Setiembre</v>
      </c>
      <c r="K223" s="43">
        <f>WEEKNUM(tbl_dashboard[[#This Row],[Fecha]],2)</f>
        <v>39</v>
      </c>
    </row>
    <row r="224" spans="2:11" x14ac:dyDescent="0.2">
      <c r="B224" s="75">
        <v>44464</v>
      </c>
      <c r="C224" s="43" t="s">
        <v>188</v>
      </c>
      <c r="D224" s="43" t="s">
        <v>168</v>
      </c>
      <c r="E224" s="43" t="s">
        <v>166</v>
      </c>
      <c r="F224" s="43" t="s">
        <v>169</v>
      </c>
      <c r="G224" s="43">
        <v>5404</v>
      </c>
      <c r="H224" s="43">
        <v>1188.8800000000001</v>
      </c>
      <c r="I224" s="43">
        <f>YEAR(tbl_dashboard[[#This Row],[Fecha]])</f>
        <v>2021</v>
      </c>
      <c r="J224" s="43" t="str">
        <f>TEXT(tbl_dashboard[[#This Row],[Fecha]],"mmmm")</f>
        <v>Setiembre</v>
      </c>
      <c r="K224" s="43">
        <f>WEEKNUM(tbl_dashboard[[#This Row],[Fecha]],2)</f>
        <v>39</v>
      </c>
    </row>
    <row r="225" spans="2:11" x14ac:dyDescent="0.2">
      <c r="B225" s="75">
        <v>44463</v>
      </c>
      <c r="C225" s="43" t="s">
        <v>189</v>
      </c>
      <c r="D225" s="43" t="s">
        <v>165</v>
      </c>
      <c r="E225" s="43" t="s">
        <v>162</v>
      </c>
      <c r="F225" s="43" t="s">
        <v>169</v>
      </c>
      <c r="G225" s="43">
        <v>7859</v>
      </c>
      <c r="H225" s="43">
        <v>1728.98</v>
      </c>
      <c r="I225" s="43">
        <f>YEAR(tbl_dashboard[[#This Row],[Fecha]])</f>
        <v>2021</v>
      </c>
      <c r="J225" s="43" t="str">
        <f>TEXT(tbl_dashboard[[#This Row],[Fecha]],"mmmm")</f>
        <v>Setiembre</v>
      </c>
      <c r="K225" s="43">
        <f>WEEKNUM(tbl_dashboard[[#This Row],[Fecha]],2)</f>
        <v>39</v>
      </c>
    </row>
    <row r="226" spans="2:11" x14ac:dyDescent="0.2">
      <c r="B226" s="75">
        <v>44469</v>
      </c>
      <c r="C226" s="43" t="s">
        <v>190</v>
      </c>
      <c r="D226" s="43" t="s">
        <v>168</v>
      </c>
      <c r="E226" s="43" t="s">
        <v>162</v>
      </c>
      <c r="F226" s="43" t="s">
        <v>163</v>
      </c>
      <c r="G226" s="43">
        <v>10338</v>
      </c>
      <c r="H226" s="43">
        <v>1654.08</v>
      </c>
      <c r="I226" s="43">
        <f>YEAR(tbl_dashboard[[#This Row],[Fecha]])</f>
        <v>2021</v>
      </c>
      <c r="J226" s="43" t="str">
        <f>TEXT(tbl_dashboard[[#This Row],[Fecha]],"mmmm")</f>
        <v>Setiembre</v>
      </c>
      <c r="K226" s="43">
        <f>WEEKNUM(tbl_dashboard[[#This Row],[Fecha]],2)</f>
        <v>40</v>
      </c>
    </row>
    <row r="227" spans="2:11" x14ac:dyDescent="0.2">
      <c r="B227" s="75">
        <v>44469</v>
      </c>
      <c r="C227" s="43" t="s">
        <v>191</v>
      </c>
      <c r="D227" s="43" t="s">
        <v>161</v>
      </c>
      <c r="E227" s="43" t="s">
        <v>162</v>
      </c>
      <c r="F227" s="43" t="s">
        <v>163</v>
      </c>
      <c r="G227" s="43">
        <v>1419</v>
      </c>
      <c r="H227" s="43">
        <v>439.89</v>
      </c>
      <c r="I227" s="43">
        <f>YEAR(tbl_dashboard[[#This Row],[Fecha]])</f>
        <v>2021</v>
      </c>
      <c r="J227" s="43" t="str">
        <f>TEXT(tbl_dashboard[[#This Row],[Fecha]],"mmmm")</f>
        <v>Setiembre</v>
      </c>
      <c r="K227" s="43">
        <f>WEEKNUM(tbl_dashboard[[#This Row],[Fecha]],2)</f>
        <v>40</v>
      </c>
    </row>
    <row r="228" spans="2:11" x14ac:dyDescent="0.2">
      <c r="B228" s="75">
        <v>44469</v>
      </c>
      <c r="C228" s="43" t="s">
        <v>192</v>
      </c>
      <c r="D228" s="43" t="s">
        <v>165</v>
      </c>
      <c r="E228" s="43" t="s">
        <v>166</v>
      </c>
      <c r="F228" s="43" t="s">
        <v>169</v>
      </c>
      <c r="G228" s="43">
        <v>2546</v>
      </c>
      <c r="H228" s="43">
        <v>763.8</v>
      </c>
      <c r="I228" s="43">
        <f>YEAR(tbl_dashboard[[#This Row],[Fecha]])</f>
        <v>2021</v>
      </c>
      <c r="J228" s="43" t="str">
        <f>TEXT(tbl_dashboard[[#This Row],[Fecha]],"mmmm")</f>
        <v>Setiembre</v>
      </c>
      <c r="K228" s="43">
        <f>WEEKNUM(tbl_dashboard[[#This Row],[Fecha]],2)</f>
        <v>40</v>
      </c>
    </row>
    <row r="229" spans="2:11" x14ac:dyDescent="0.2">
      <c r="B229" s="75">
        <v>44469</v>
      </c>
      <c r="C229" s="43" t="s">
        <v>193</v>
      </c>
      <c r="D229" s="43" t="s">
        <v>168</v>
      </c>
      <c r="E229" s="43" t="s">
        <v>166</v>
      </c>
      <c r="F229" s="43" t="s">
        <v>169</v>
      </c>
      <c r="G229" s="43">
        <v>7869</v>
      </c>
      <c r="H229" s="43">
        <v>3462.36</v>
      </c>
      <c r="I229" s="43">
        <f>YEAR(tbl_dashboard[[#This Row],[Fecha]])</f>
        <v>2021</v>
      </c>
      <c r="J229" s="43" t="str">
        <f>TEXT(tbl_dashboard[[#This Row],[Fecha]],"mmmm")</f>
        <v>Setiembre</v>
      </c>
      <c r="K229" s="43">
        <f>WEEKNUM(tbl_dashboard[[#This Row],[Fecha]],2)</f>
        <v>40</v>
      </c>
    </row>
    <row r="230" spans="2:11" x14ac:dyDescent="0.2">
      <c r="B230" s="75">
        <v>44469</v>
      </c>
      <c r="C230" s="43" t="s">
        <v>194</v>
      </c>
      <c r="D230" s="43" t="s">
        <v>165</v>
      </c>
      <c r="E230" s="43" t="s">
        <v>162</v>
      </c>
      <c r="F230" s="43" t="s">
        <v>163</v>
      </c>
      <c r="G230" s="43">
        <v>11191</v>
      </c>
      <c r="H230" s="43">
        <v>4476.3999999999996</v>
      </c>
      <c r="I230" s="43">
        <f>YEAR(tbl_dashboard[[#This Row],[Fecha]])</f>
        <v>2021</v>
      </c>
      <c r="J230" s="43" t="str">
        <f>TEXT(tbl_dashboard[[#This Row],[Fecha]],"mmmm")</f>
        <v>Setiembre</v>
      </c>
      <c r="K230" s="43">
        <f>WEEKNUM(tbl_dashboard[[#This Row],[Fecha]],2)</f>
        <v>40</v>
      </c>
    </row>
    <row r="231" spans="2:11" x14ac:dyDescent="0.2">
      <c r="B231" s="75">
        <v>44469</v>
      </c>
      <c r="C231" s="43" t="s">
        <v>195</v>
      </c>
      <c r="D231" s="43" t="s">
        <v>165</v>
      </c>
      <c r="E231" s="43" t="s">
        <v>166</v>
      </c>
      <c r="F231" s="43" t="s">
        <v>163</v>
      </c>
      <c r="G231" s="43">
        <v>4265</v>
      </c>
      <c r="H231" s="43">
        <v>682.4</v>
      </c>
      <c r="I231" s="43">
        <f>YEAR(tbl_dashboard[[#This Row],[Fecha]])</f>
        <v>2021</v>
      </c>
      <c r="J231" s="43" t="str">
        <f>TEXT(tbl_dashboard[[#This Row],[Fecha]],"mmmm")</f>
        <v>Setiembre</v>
      </c>
      <c r="K231" s="43">
        <f>WEEKNUM(tbl_dashboard[[#This Row],[Fecha]],2)</f>
        <v>40</v>
      </c>
    </row>
    <row r="232" spans="2:11" x14ac:dyDescent="0.2">
      <c r="B232" s="75">
        <v>44469</v>
      </c>
      <c r="C232" s="43" t="s">
        <v>196</v>
      </c>
      <c r="D232" s="43" t="s">
        <v>165</v>
      </c>
      <c r="E232" s="43" t="s">
        <v>162</v>
      </c>
      <c r="F232" s="43" t="s">
        <v>169</v>
      </c>
      <c r="G232" s="43">
        <v>6818</v>
      </c>
      <c r="H232" s="43">
        <v>2454.48</v>
      </c>
      <c r="I232" s="43">
        <f>YEAR(tbl_dashboard[[#This Row],[Fecha]])</f>
        <v>2021</v>
      </c>
      <c r="J232" s="43" t="str">
        <f>TEXT(tbl_dashboard[[#This Row],[Fecha]],"mmmm")</f>
        <v>Setiembre</v>
      </c>
      <c r="K232" s="43">
        <f>WEEKNUM(tbl_dashboard[[#This Row],[Fecha]],2)</f>
        <v>40</v>
      </c>
    </row>
    <row r="233" spans="2:11" x14ac:dyDescent="0.2">
      <c r="B233" s="75">
        <v>44495</v>
      </c>
      <c r="C233" s="43" t="s">
        <v>160</v>
      </c>
      <c r="D233" s="43" t="s">
        <v>161</v>
      </c>
      <c r="E233" s="43" t="s">
        <v>162</v>
      </c>
      <c r="F233" s="43" t="s">
        <v>163</v>
      </c>
      <c r="G233" s="43">
        <v>11217</v>
      </c>
      <c r="H233" s="43">
        <v>2579.91</v>
      </c>
      <c r="I233" s="43">
        <f>YEAR(tbl_dashboard[[#This Row],[Fecha]])</f>
        <v>2021</v>
      </c>
      <c r="J233" s="43" t="str">
        <f>TEXT(tbl_dashboard[[#This Row],[Fecha]],"mmmm")</f>
        <v>Octubre</v>
      </c>
      <c r="K233" s="43">
        <f>WEEKNUM(tbl_dashboard[[#This Row],[Fecha]],2)</f>
        <v>44</v>
      </c>
    </row>
    <row r="234" spans="2:11" x14ac:dyDescent="0.2">
      <c r="B234" s="75">
        <v>44494</v>
      </c>
      <c r="C234" s="43" t="s">
        <v>164</v>
      </c>
      <c r="D234" s="43" t="s">
        <v>165</v>
      </c>
      <c r="E234" s="43" t="s">
        <v>166</v>
      </c>
      <c r="F234" s="43" t="s">
        <v>169</v>
      </c>
      <c r="G234" s="43">
        <v>10508</v>
      </c>
      <c r="H234" s="43">
        <v>4203.2</v>
      </c>
      <c r="I234" s="43">
        <f>YEAR(tbl_dashboard[[#This Row],[Fecha]])</f>
        <v>2021</v>
      </c>
      <c r="J234" s="43" t="str">
        <f>TEXT(tbl_dashboard[[#This Row],[Fecha]],"mmmm")</f>
        <v>Octubre</v>
      </c>
      <c r="K234" s="43">
        <f>WEEKNUM(tbl_dashboard[[#This Row],[Fecha]],2)</f>
        <v>44</v>
      </c>
    </row>
    <row r="235" spans="2:11" x14ac:dyDescent="0.2">
      <c r="B235" s="75">
        <v>44494</v>
      </c>
      <c r="C235" s="43" t="s">
        <v>167</v>
      </c>
      <c r="D235" s="43" t="s">
        <v>168</v>
      </c>
      <c r="E235" s="43" t="s">
        <v>162</v>
      </c>
      <c r="F235" s="43" t="s">
        <v>169</v>
      </c>
      <c r="G235" s="43">
        <v>8770</v>
      </c>
      <c r="H235" s="43">
        <v>1666.3</v>
      </c>
      <c r="I235" s="43">
        <f>YEAR(tbl_dashboard[[#This Row],[Fecha]])</f>
        <v>2021</v>
      </c>
      <c r="J235" s="43" t="str">
        <f>TEXT(tbl_dashboard[[#This Row],[Fecha]],"mmmm")</f>
        <v>Octubre</v>
      </c>
      <c r="K235" s="43">
        <f>WEEKNUM(tbl_dashboard[[#This Row],[Fecha]],2)</f>
        <v>44</v>
      </c>
    </row>
    <row r="236" spans="2:11" x14ac:dyDescent="0.2">
      <c r="B236" s="75">
        <v>44494</v>
      </c>
      <c r="C236" s="43" t="s">
        <v>170</v>
      </c>
      <c r="D236" s="43" t="s">
        <v>161</v>
      </c>
      <c r="E236" s="43" t="s">
        <v>166</v>
      </c>
      <c r="F236" s="43" t="s">
        <v>169</v>
      </c>
      <c r="G236" s="43">
        <v>3032</v>
      </c>
      <c r="H236" s="43">
        <v>576.08000000000004</v>
      </c>
      <c r="I236" s="43">
        <f>YEAR(tbl_dashboard[[#This Row],[Fecha]])</f>
        <v>2021</v>
      </c>
      <c r="J236" s="43" t="str">
        <f>TEXT(tbl_dashboard[[#This Row],[Fecha]],"mmmm")</f>
        <v>Octubre</v>
      </c>
      <c r="K236" s="43">
        <f>WEEKNUM(tbl_dashboard[[#This Row],[Fecha]],2)</f>
        <v>44</v>
      </c>
    </row>
    <row r="237" spans="2:11" x14ac:dyDescent="0.2">
      <c r="B237" s="75">
        <v>44494</v>
      </c>
      <c r="C237" s="43" t="s">
        <v>171</v>
      </c>
      <c r="D237" s="43" t="s">
        <v>165</v>
      </c>
      <c r="E237" s="43" t="s">
        <v>166</v>
      </c>
      <c r="F237" s="43" t="s">
        <v>169</v>
      </c>
      <c r="G237" s="43">
        <v>1630</v>
      </c>
      <c r="H237" s="43">
        <v>293.39999999999998</v>
      </c>
      <c r="I237" s="43">
        <f>YEAR(tbl_dashboard[[#This Row],[Fecha]])</f>
        <v>2021</v>
      </c>
      <c r="J237" s="43" t="str">
        <f>TEXT(tbl_dashboard[[#This Row],[Fecha]],"mmmm")</f>
        <v>Octubre</v>
      </c>
      <c r="K237" s="43">
        <f>WEEKNUM(tbl_dashboard[[#This Row],[Fecha]],2)</f>
        <v>44</v>
      </c>
    </row>
    <row r="238" spans="2:11" x14ac:dyDescent="0.2">
      <c r="B238" s="75">
        <v>44493</v>
      </c>
      <c r="C238" s="43" t="s">
        <v>172</v>
      </c>
      <c r="D238" s="43" t="s">
        <v>165</v>
      </c>
      <c r="E238" s="43" t="s">
        <v>166</v>
      </c>
      <c r="F238" s="43" t="s">
        <v>169</v>
      </c>
      <c r="G238" s="43">
        <v>8766</v>
      </c>
      <c r="H238" s="43">
        <v>2629.8</v>
      </c>
      <c r="I238" s="43">
        <f>YEAR(tbl_dashboard[[#This Row],[Fecha]])</f>
        <v>2021</v>
      </c>
      <c r="J238" s="43" t="str">
        <f>TEXT(tbl_dashboard[[#This Row],[Fecha]],"mmmm")</f>
        <v>Octubre</v>
      </c>
      <c r="K238" s="43">
        <f>WEEKNUM(tbl_dashboard[[#This Row],[Fecha]],2)</f>
        <v>43</v>
      </c>
    </row>
    <row r="239" spans="2:11" x14ac:dyDescent="0.2">
      <c r="B239" s="75">
        <v>44500</v>
      </c>
      <c r="C239" s="43" t="s">
        <v>173</v>
      </c>
      <c r="D239" s="43" t="s">
        <v>161</v>
      </c>
      <c r="E239" s="43" t="s">
        <v>162</v>
      </c>
      <c r="F239" s="43" t="s">
        <v>163</v>
      </c>
      <c r="G239" s="43">
        <v>7183</v>
      </c>
      <c r="H239" s="43">
        <v>2083.0700000000002</v>
      </c>
      <c r="I239" s="43">
        <f>YEAR(tbl_dashboard[[#This Row],[Fecha]])</f>
        <v>2021</v>
      </c>
      <c r="J239" s="43" t="str">
        <f>TEXT(tbl_dashboard[[#This Row],[Fecha]],"mmmm")</f>
        <v>Octubre</v>
      </c>
      <c r="K239" s="43">
        <f>WEEKNUM(tbl_dashboard[[#This Row],[Fecha]],2)</f>
        <v>44</v>
      </c>
    </row>
    <row r="240" spans="2:11" x14ac:dyDescent="0.2">
      <c r="B240" s="75">
        <v>44500</v>
      </c>
      <c r="C240" s="43" t="s">
        <v>174</v>
      </c>
      <c r="D240" s="43" t="s">
        <v>165</v>
      </c>
      <c r="E240" s="43" t="s">
        <v>162</v>
      </c>
      <c r="F240" s="43" t="s">
        <v>163</v>
      </c>
      <c r="G240" s="43">
        <v>2546</v>
      </c>
      <c r="H240" s="43">
        <v>916.56</v>
      </c>
      <c r="I240" s="43">
        <f>YEAR(tbl_dashboard[[#This Row],[Fecha]])</f>
        <v>2021</v>
      </c>
      <c r="J240" s="43" t="str">
        <f>TEXT(tbl_dashboard[[#This Row],[Fecha]],"mmmm")</f>
        <v>Octubre</v>
      </c>
      <c r="K240" s="43">
        <f>WEEKNUM(tbl_dashboard[[#This Row],[Fecha]],2)</f>
        <v>44</v>
      </c>
    </row>
    <row r="241" spans="2:11" x14ac:dyDescent="0.2">
      <c r="B241" s="75">
        <v>44500</v>
      </c>
      <c r="C241" s="43" t="s">
        <v>175</v>
      </c>
      <c r="D241" s="43" t="s">
        <v>168</v>
      </c>
      <c r="E241" s="43" t="s">
        <v>162</v>
      </c>
      <c r="F241" s="43" t="s">
        <v>169</v>
      </c>
      <c r="G241" s="43">
        <v>7197</v>
      </c>
      <c r="H241" s="43">
        <v>2518.9499999999998</v>
      </c>
      <c r="I241" s="43">
        <f>YEAR(tbl_dashboard[[#This Row],[Fecha]])</f>
        <v>2021</v>
      </c>
      <c r="J241" s="43" t="str">
        <f>TEXT(tbl_dashboard[[#This Row],[Fecha]],"mmmm")</f>
        <v>Octubre</v>
      </c>
      <c r="K241" s="43">
        <f>WEEKNUM(tbl_dashboard[[#This Row],[Fecha]],2)</f>
        <v>44</v>
      </c>
    </row>
    <row r="242" spans="2:11" x14ac:dyDescent="0.2">
      <c r="B242" s="75">
        <v>44500</v>
      </c>
      <c r="C242" s="43" t="s">
        <v>176</v>
      </c>
      <c r="D242" s="43" t="s">
        <v>161</v>
      </c>
      <c r="E242" s="43" t="s">
        <v>166</v>
      </c>
      <c r="F242" s="43" t="s">
        <v>169</v>
      </c>
      <c r="G242" s="43">
        <v>7958</v>
      </c>
      <c r="H242" s="43">
        <v>1989.5</v>
      </c>
      <c r="I242" s="43">
        <f>YEAR(tbl_dashboard[[#This Row],[Fecha]])</f>
        <v>2021</v>
      </c>
      <c r="J242" s="43" t="str">
        <f>TEXT(tbl_dashboard[[#This Row],[Fecha]],"mmmm")</f>
        <v>Octubre</v>
      </c>
      <c r="K242" s="43">
        <f>WEEKNUM(tbl_dashboard[[#This Row],[Fecha]],2)</f>
        <v>44</v>
      </c>
    </row>
    <row r="243" spans="2:11" x14ac:dyDescent="0.2">
      <c r="B243" s="75">
        <v>44500</v>
      </c>
      <c r="C243" s="43" t="s">
        <v>177</v>
      </c>
      <c r="D243" s="43" t="s">
        <v>165</v>
      </c>
      <c r="E243" s="43" t="s">
        <v>162</v>
      </c>
      <c r="F243" s="43" t="s">
        <v>163</v>
      </c>
      <c r="G243" s="43">
        <v>11324</v>
      </c>
      <c r="H243" s="43">
        <v>2151.56</v>
      </c>
      <c r="I243" s="43">
        <f>YEAR(tbl_dashboard[[#This Row],[Fecha]])</f>
        <v>2021</v>
      </c>
      <c r="J243" s="43" t="str">
        <f>TEXT(tbl_dashboard[[#This Row],[Fecha]],"mmmm")</f>
        <v>Octubre</v>
      </c>
      <c r="K243" s="43">
        <f>WEEKNUM(tbl_dashboard[[#This Row],[Fecha]],2)</f>
        <v>44</v>
      </c>
    </row>
    <row r="244" spans="2:11" x14ac:dyDescent="0.2">
      <c r="B244" s="75">
        <v>44500</v>
      </c>
      <c r="C244" s="43" t="s">
        <v>178</v>
      </c>
      <c r="D244" s="43" t="s">
        <v>168</v>
      </c>
      <c r="E244" s="43" t="s">
        <v>166</v>
      </c>
      <c r="F244" s="43" t="s">
        <v>163</v>
      </c>
      <c r="G244" s="43">
        <v>11310</v>
      </c>
      <c r="H244" s="43">
        <v>3506.1</v>
      </c>
      <c r="I244" s="43">
        <f>YEAR(tbl_dashboard[[#This Row],[Fecha]])</f>
        <v>2021</v>
      </c>
      <c r="J244" s="43" t="str">
        <f>TEXT(tbl_dashboard[[#This Row],[Fecha]],"mmmm")</f>
        <v>Octubre</v>
      </c>
      <c r="K244" s="43">
        <f>WEEKNUM(tbl_dashboard[[#This Row],[Fecha]],2)</f>
        <v>44</v>
      </c>
    </row>
    <row r="245" spans="2:11" x14ac:dyDescent="0.2">
      <c r="B245" s="75">
        <v>44499</v>
      </c>
      <c r="C245" s="43" t="s">
        <v>179</v>
      </c>
      <c r="D245" s="43" t="s">
        <v>168</v>
      </c>
      <c r="E245" s="43" t="s">
        <v>166</v>
      </c>
      <c r="F245" s="43" t="s">
        <v>169</v>
      </c>
      <c r="G245" s="43">
        <v>9743</v>
      </c>
      <c r="H245" s="43">
        <v>3117.76</v>
      </c>
      <c r="I245" s="43">
        <f>YEAR(tbl_dashboard[[#This Row],[Fecha]])</f>
        <v>2021</v>
      </c>
      <c r="J245" s="43" t="str">
        <f>TEXT(tbl_dashboard[[#This Row],[Fecha]],"mmmm")</f>
        <v>Octubre</v>
      </c>
      <c r="K245" s="43">
        <f>WEEKNUM(tbl_dashboard[[#This Row],[Fecha]],2)</f>
        <v>44</v>
      </c>
    </row>
    <row r="246" spans="2:11" x14ac:dyDescent="0.2">
      <c r="B246" s="75">
        <v>44495</v>
      </c>
      <c r="C246" s="43" t="s">
        <v>180</v>
      </c>
      <c r="D246" s="43" t="s">
        <v>165</v>
      </c>
      <c r="E246" s="43" t="s">
        <v>166</v>
      </c>
      <c r="F246" s="43" t="s">
        <v>163</v>
      </c>
      <c r="G246" s="43">
        <v>6996</v>
      </c>
      <c r="H246" s="43">
        <v>2728.44</v>
      </c>
      <c r="I246" s="43">
        <f>YEAR(tbl_dashboard[[#This Row],[Fecha]])</f>
        <v>2021</v>
      </c>
      <c r="J246" s="43" t="str">
        <f>TEXT(tbl_dashboard[[#This Row],[Fecha]],"mmmm")</f>
        <v>Octubre</v>
      </c>
      <c r="K246" s="43">
        <f>WEEKNUM(tbl_dashboard[[#This Row],[Fecha]],2)</f>
        <v>44</v>
      </c>
    </row>
    <row r="247" spans="2:11" x14ac:dyDescent="0.2">
      <c r="B247" s="75">
        <v>44494</v>
      </c>
      <c r="C247" s="43" t="s">
        <v>181</v>
      </c>
      <c r="D247" s="43" t="s">
        <v>165</v>
      </c>
      <c r="E247" s="43" t="s">
        <v>166</v>
      </c>
      <c r="F247" s="43" t="s">
        <v>169</v>
      </c>
      <c r="G247" s="43">
        <v>5131</v>
      </c>
      <c r="H247" s="43">
        <v>1539.3</v>
      </c>
      <c r="I247" s="43">
        <f>YEAR(tbl_dashboard[[#This Row],[Fecha]])</f>
        <v>2021</v>
      </c>
      <c r="J247" s="43" t="str">
        <f>TEXT(tbl_dashboard[[#This Row],[Fecha]],"mmmm")</f>
        <v>Octubre</v>
      </c>
      <c r="K247" s="43">
        <f>WEEKNUM(tbl_dashboard[[#This Row],[Fecha]],2)</f>
        <v>44</v>
      </c>
    </row>
    <row r="248" spans="2:11" x14ac:dyDescent="0.2">
      <c r="B248" s="75">
        <v>44494</v>
      </c>
      <c r="C248" s="43" t="s">
        <v>182</v>
      </c>
      <c r="D248" s="43" t="s">
        <v>165</v>
      </c>
      <c r="E248" s="43" t="s">
        <v>162</v>
      </c>
      <c r="F248" s="43" t="s">
        <v>169</v>
      </c>
      <c r="G248" s="43">
        <v>3220</v>
      </c>
      <c r="H248" s="43">
        <v>1127</v>
      </c>
      <c r="I248" s="43">
        <f>YEAR(tbl_dashboard[[#This Row],[Fecha]])</f>
        <v>2021</v>
      </c>
      <c r="J248" s="43" t="str">
        <f>TEXT(tbl_dashboard[[#This Row],[Fecha]],"mmmm")</f>
        <v>Octubre</v>
      </c>
      <c r="K248" s="43">
        <f>WEEKNUM(tbl_dashboard[[#This Row],[Fecha]],2)</f>
        <v>44</v>
      </c>
    </row>
    <row r="249" spans="2:11" x14ac:dyDescent="0.2">
      <c r="B249" s="75">
        <v>44494</v>
      </c>
      <c r="C249" s="43" t="s">
        <v>183</v>
      </c>
      <c r="D249" s="43" t="s">
        <v>161</v>
      </c>
      <c r="E249" s="43" t="s">
        <v>162</v>
      </c>
      <c r="F249" s="43" t="s">
        <v>169</v>
      </c>
      <c r="G249" s="43">
        <v>4507</v>
      </c>
      <c r="H249" s="43">
        <v>1757.73</v>
      </c>
      <c r="I249" s="43">
        <f>YEAR(tbl_dashboard[[#This Row],[Fecha]])</f>
        <v>2021</v>
      </c>
      <c r="J249" s="43" t="str">
        <f>TEXT(tbl_dashboard[[#This Row],[Fecha]],"mmmm")</f>
        <v>Octubre</v>
      </c>
      <c r="K249" s="43">
        <f>WEEKNUM(tbl_dashboard[[#This Row],[Fecha]],2)</f>
        <v>44</v>
      </c>
    </row>
    <row r="250" spans="2:11" x14ac:dyDescent="0.2">
      <c r="B250" s="75">
        <v>44494</v>
      </c>
      <c r="C250" s="43" t="s">
        <v>184</v>
      </c>
      <c r="D250" s="43" t="s">
        <v>161</v>
      </c>
      <c r="E250" s="43" t="s">
        <v>162</v>
      </c>
      <c r="F250" s="43" t="s">
        <v>169</v>
      </c>
      <c r="G250" s="43">
        <v>11102</v>
      </c>
      <c r="H250" s="43">
        <v>1998.36</v>
      </c>
      <c r="I250" s="43">
        <f>YEAR(tbl_dashboard[[#This Row],[Fecha]])</f>
        <v>2021</v>
      </c>
      <c r="J250" s="43" t="str">
        <f>TEXT(tbl_dashboard[[#This Row],[Fecha]],"mmmm")</f>
        <v>Octubre</v>
      </c>
      <c r="K250" s="43">
        <f>WEEKNUM(tbl_dashboard[[#This Row],[Fecha]],2)</f>
        <v>44</v>
      </c>
    </row>
    <row r="251" spans="2:11" x14ac:dyDescent="0.2">
      <c r="B251" s="75">
        <v>44493</v>
      </c>
      <c r="C251" s="43" t="s">
        <v>185</v>
      </c>
      <c r="D251" s="43" t="s">
        <v>165</v>
      </c>
      <c r="E251" s="43" t="s">
        <v>166</v>
      </c>
      <c r="F251" s="43" t="s">
        <v>169</v>
      </c>
      <c r="G251" s="43">
        <v>7570</v>
      </c>
      <c r="H251" s="43">
        <v>1286.9000000000001</v>
      </c>
      <c r="I251" s="43">
        <f>YEAR(tbl_dashboard[[#This Row],[Fecha]])</f>
        <v>2021</v>
      </c>
      <c r="J251" s="43" t="str">
        <f>TEXT(tbl_dashboard[[#This Row],[Fecha]],"mmmm")</f>
        <v>Octubre</v>
      </c>
      <c r="K251" s="43">
        <f>WEEKNUM(tbl_dashboard[[#This Row],[Fecha]],2)</f>
        <v>43</v>
      </c>
    </row>
    <row r="252" spans="2:11" x14ac:dyDescent="0.2">
      <c r="B252" s="75">
        <v>44499</v>
      </c>
      <c r="C252" s="43" t="s">
        <v>186</v>
      </c>
      <c r="D252" s="43" t="s">
        <v>168</v>
      </c>
      <c r="E252" s="43" t="s">
        <v>166</v>
      </c>
      <c r="F252" s="43" t="s">
        <v>163</v>
      </c>
      <c r="G252" s="43">
        <v>5814</v>
      </c>
      <c r="H252" s="43">
        <v>2441.88</v>
      </c>
      <c r="I252" s="43">
        <f>YEAR(tbl_dashboard[[#This Row],[Fecha]])</f>
        <v>2021</v>
      </c>
      <c r="J252" s="43" t="str">
        <f>TEXT(tbl_dashboard[[#This Row],[Fecha]],"mmmm")</f>
        <v>Octubre</v>
      </c>
      <c r="K252" s="43">
        <f>WEEKNUM(tbl_dashboard[[#This Row],[Fecha]],2)</f>
        <v>44</v>
      </c>
    </row>
    <row r="253" spans="2:11" x14ac:dyDescent="0.2">
      <c r="B253" s="75">
        <v>44499</v>
      </c>
      <c r="C253" s="43" t="s">
        <v>187</v>
      </c>
      <c r="D253" s="43" t="s">
        <v>168</v>
      </c>
      <c r="E253" s="43" t="s">
        <v>162</v>
      </c>
      <c r="F253" s="43" t="s">
        <v>163</v>
      </c>
      <c r="G253" s="43">
        <v>11992</v>
      </c>
      <c r="H253" s="43">
        <v>3237.84</v>
      </c>
      <c r="I253" s="43">
        <f>YEAR(tbl_dashboard[[#This Row],[Fecha]])</f>
        <v>2021</v>
      </c>
      <c r="J253" s="43" t="str">
        <f>TEXT(tbl_dashboard[[#This Row],[Fecha]],"mmmm")</f>
        <v>Octubre</v>
      </c>
      <c r="K253" s="43">
        <f>WEEKNUM(tbl_dashboard[[#This Row],[Fecha]],2)</f>
        <v>44</v>
      </c>
    </row>
    <row r="254" spans="2:11" x14ac:dyDescent="0.2">
      <c r="B254" s="75">
        <v>44499</v>
      </c>
      <c r="C254" s="43" t="s">
        <v>188</v>
      </c>
      <c r="D254" s="43" t="s">
        <v>165</v>
      </c>
      <c r="E254" s="43" t="s">
        <v>162</v>
      </c>
      <c r="F254" s="43" t="s">
        <v>169</v>
      </c>
      <c r="G254" s="43">
        <v>3193</v>
      </c>
      <c r="H254" s="43">
        <v>574.74</v>
      </c>
      <c r="I254" s="43">
        <f>YEAR(tbl_dashboard[[#This Row],[Fecha]])</f>
        <v>2021</v>
      </c>
      <c r="J254" s="43" t="str">
        <f>TEXT(tbl_dashboard[[#This Row],[Fecha]],"mmmm")</f>
        <v>Octubre</v>
      </c>
      <c r="K254" s="43">
        <f>WEEKNUM(tbl_dashboard[[#This Row],[Fecha]],2)</f>
        <v>44</v>
      </c>
    </row>
    <row r="255" spans="2:11" x14ac:dyDescent="0.2">
      <c r="B255" s="75">
        <v>44530</v>
      </c>
      <c r="C255" s="43" t="s">
        <v>160</v>
      </c>
      <c r="D255" s="43" t="s">
        <v>165</v>
      </c>
      <c r="E255" s="43" t="s">
        <v>166</v>
      </c>
      <c r="F255" s="43" t="s">
        <v>169</v>
      </c>
      <c r="G255" s="43">
        <v>1372</v>
      </c>
      <c r="H255" s="43">
        <v>466.48</v>
      </c>
      <c r="I255" s="43">
        <f>YEAR(tbl_dashboard[[#This Row],[Fecha]])</f>
        <v>2021</v>
      </c>
      <c r="J255" s="43" t="str">
        <f>TEXT(tbl_dashboard[[#This Row],[Fecha]],"mmmm")</f>
        <v>Noviembre</v>
      </c>
      <c r="K255" s="43">
        <f>WEEKNUM(tbl_dashboard[[#This Row],[Fecha]],2)</f>
        <v>49</v>
      </c>
    </row>
    <row r="256" spans="2:11" x14ac:dyDescent="0.2">
      <c r="B256" s="75">
        <v>44530</v>
      </c>
      <c r="C256" s="43" t="s">
        <v>164</v>
      </c>
      <c r="D256" s="43" t="s">
        <v>165</v>
      </c>
      <c r="E256" s="43" t="s">
        <v>166</v>
      </c>
      <c r="F256" s="43" t="s">
        <v>163</v>
      </c>
      <c r="G256" s="43">
        <v>8431</v>
      </c>
      <c r="H256" s="43">
        <v>3035.16</v>
      </c>
      <c r="I256" s="43">
        <f>YEAR(tbl_dashboard[[#This Row],[Fecha]])</f>
        <v>2021</v>
      </c>
      <c r="J256" s="43" t="str">
        <f>TEXT(tbl_dashboard[[#This Row],[Fecha]],"mmmm")</f>
        <v>Noviembre</v>
      </c>
      <c r="K256" s="43">
        <f>WEEKNUM(tbl_dashboard[[#This Row],[Fecha]],2)</f>
        <v>49</v>
      </c>
    </row>
    <row r="257" spans="2:11" x14ac:dyDescent="0.2">
      <c r="B257" s="75">
        <v>44530</v>
      </c>
      <c r="C257" s="43" t="s">
        <v>167</v>
      </c>
      <c r="D257" s="43" t="s">
        <v>161</v>
      </c>
      <c r="E257" s="43" t="s">
        <v>166</v>
      </c>
      <c r="F257" s="43" t="s">
        <v>163</v>
      </c>
      <c r="G257" s="43">
        <v>4509</v>
      </c>
      <c r="H257" s="43">
        <v>721.44</v>
      </c>
      <c r="I257" s="43">
        <f>YEAR(tbl_dashboard[[#This Row],[Fecha]])</f>
        <v>2021</v>
      </c>
      <c r="J257" s="43" t="str">
        <f>TEXT(tbl_dashboard[[#This Row],[Fecha]],"mmmm")</f>
        <v>Noviembre</v>
      </c>
      <c r="K257" s="43">
        <f>WEEKNUM(tbl_dashboard[[#This Row],[Fecha]],2)</f>
        <v>49</v>
      </c>
    </row>
    <row r="258" spans="2:11" x14ac:dyDescent="0.2">
      <c r="B258" s="75">
        <v>44530</v>
      </c>
      <c r="C258" s="43" t="s">
        <v>170</v>
      </c>
      <c r="D258" s="43" t="s">
        <v>165</v>
      </c>
      <c r="E258" s="43" t="s">
        <v>166</v>
      </c>
      <c r="F258" s="43" t="s">
        <v>169</v>
      </c>
      <c r="G258" s="43">
        <v>10109</v>
      </c>
      <c r="H258" s="43">
        <v>3133.79</v>
      </c>
      <c r="I258" s="43">
        <f>YEAR(tbl_dashboard[[#This Row],[Fecha]])</f>
        <v>2021</v>
      </c>
      <c r="J258" s="43" t="str">
        <f>TEXT(tbl_dashboard[[#This Row],[Fecha]],"mmmm")</f>
        <v>Noviembre</v>
      </c>
      <c r="K258" s="43">
        <f>WEEKNUM(tbl_dashboard[[#This Row],[Fecha]],2)</f>
        <v>49</v>
      </c>
    </row>
    <row r="259" spans="2:11" x14ac:dyDescent="0.2">
      <c r="B259" s="75">
        <v>44526</v>
      </c>
      <c r="C259" s="43" t="s">
        <v>171</v>
      </c>
      <c r="D259" s="43" t="s">
        <v>165</v>
      </c>
      <c r="E259" s="43" t="s">
        <v>166</v>
      </c>
      <c r="F259" s="43" t="s">
        <v>163</v>
      </c>
      <c r="G259" s="43">
        <v>10307</v>
      </c>
      <c r="H259" s="43">
        <v>2370.61</v>
      </c>
      <c r="I259" s="43">
        <f>YEAR(tbl_dashboard[[#This Row],[Fecha]])</f>
        <v>2021</v>
      </c>
      <c r="J259" s="43" t="str">
        <f>TEXT(tbl_dashboard[[#This Row],[Fecha]],"mmmm")</f>
        <v>Noviembre</v>
      </c>
      <c r="K259" s="43">
        <f>WEEKNUM(tbl_dashboard[[#This Row],[Fecha]],2)</f>
        <v>48</v>
      </c>
    </row>
    <row r="260" spans="2:11" x14ac:dyDescent="0.2">
      <c r="B260" s="75">
        <v>44525</v>
      </c>
      <c r="C260" s="43" t="s">
        <v>172</v>
      </c>
      <c r="D260" s="43" t="s">
        <v>168</v>
      </c>
      <c r="E260" s="43" t="s">
        <v>162</v>
      </c>
      <c r="F260" s="43" t="s">
        <v>169</v>
      </c>
      <c r="G260" s="43">
        <v>6017</v>
      </c>
      <c r="H260" s="43">
        <v>902.55</v>
      </c>
      <c r="I260" s="43">
        <f>YEAR(tbl_dashboard[[#This Row],[Fecha]])</f>
        <v>2021</v>
      </c>
      <c r="J260" s="43" t="str">
        <f>TEXT(tbl_dashboard[[#This Row],[Fecha]],"mmmm")</f>
        <v>Noviembre</v>
      </c>
      <c r="K260" s="43">
        <f>WEEKNUM(tbl_dashboard[[#This Row],[Fecha]],2)</f>
        <v>48</v>
      </c>
    </row>
    <row r="261" spans="2:11" x14ac:dyDescent="0.2">
      <c r="B261" s="75">
        <v>44525</v>
      </c>
      <c r="C261" s="43" t="s">
        <v>173</v>
      </c>
      <c r="D261" s="43" t="s">
        <v>165</v>
      </c>
      <c r="E261" s="43" t="s">
        <v>166</v>
      </c>
      <c r="F261" s="43" t="s">
        <v>169</v>
      </c>
      <c r="G261" s="43">
        <v>9031</v>
      </c>
      <c r="H261" s="43">
        <v>3251.16</v>
      </c>
      <c r="I261" s="43">
        <f>YEAR(tbl_dashboard[[#This Row],[Fecha]])</f>
        <v>2021</v>
      </c>
      <c r="J261" s="43" t="str">
        <f>TEXT(tbl_dashboard[[#This Row],[Fecha]],"mmmm")</f>
        <v>Noviembre</v>
      </c>
      <c r="K261" s="43">
        <f>WEEKNUM(tbl_dashboard[[#This Row],[Fecha]],2)</f>
        <v>48</v>
      </c>
    </row>
    <row r="262" spans="2:11" x14ac:dyDescent="0.2">
      <c r="B262" s="75">
        <v>44525</v>
      </c>
      <c r="C262" s="43" t="s">
        <v>174</v>
      </c>
      <c r="D262" s="43" t="s">
        <v>161</v>
      </c>
      <c r="E262" s="43" t="s">
        <v>166</v>
      </c>
      <c r="F262" s="43" t="s">
        <v>169</v>
      </c>
      <c r="G262" s="43">
        <v>7925</v>
      </c>
      <c r="H262" s="43">
        <v>2694.5</v>
      </c>
      <c r="I262" s="43">
        <f>YEAR(tbl_dashboard[[#This Row],[Fecha]])</f>
        <v>2021</v>
      </c>
      <c r="J262" s="43" t="str">
        <f>TEXT(tbl_dashboard[[#This Row],[Fecha]],"mmmm")</f>
        <v>Noviembre</v>
      </c>
      <c r="K262" s="43">
        <f>WEEKNUM(tbl_dashboard[[#This Row],[Fecha]],2)</f>
        <v>48</v>
      </c>
    </row>
    <row r="263" spans="2:11" x14ac:dyDescent="0.2">
      <c r="B263" s="75">
        <v>44525</v>
      </c>
      <c r="C263" s="43" t="s">
        <v>175</v>
      </c>
      <c r="D263" s="43" t="s">
        <v>161</v>
      </c>
      <c r="E263" s="43" t="s">
        <v>162</v>
      </c>
      <c r="F263" s="43" t="s">
        <v>169</v>
      </c>
      <c r="G263" s="43">
        <v>8901</v>
      </c>
      <c r="H263" s="43">
        <v>3293.37</v>
      </c>
      <c r="I263" s="43">
        <f>YEAR(tbl_dashboard[[#This Row],[Fecha]])</f>
        <v>2021</v>
      </c>
      <c r="J263" s="43" t="str">
        <f>TEXT(tbl_dashboard[[#This Row],[Fecha]],"mmmm")</f>
        <v>Noviembre</v>
      </c>
      <c r="K263" s="43">
        <f>WEEKNUM(tbl_dashboard[[#This Row],[Fecha]],2)</f>
        <v>48</v>
      </c>
    </row>
    <row r="264" spans="2:11" x14ac:dyDescent="0.2">
      <c r="B264" s="75">
        <v>44524</v>
      </c>
      <c r="C264" s="43" t="s">
        <v>176</v>
      </c>
      <c r="D264" s="43" t="s">
        <v>161</v>
      </c>
      <c r="E264" s="43" t="s">
        <v>162</v>
      </c>
      <c r="F264" s="43" t="s">
        <v>169</v>
      </c>
      <c r="G264" s="43">
        <v>9810</v>
      </c>
      <c r="H264" s="43">
        <v>2746.8</v>
      </c>
      <c r="I264" s="43">
        <f>YEAR(tbl_dashboard[[#This Row],[Fecha]])</f>
        <v>2021</v>
      </c>
      <c r="J264" s="43" t="str">
        <f>TEXT(tbl_dashboard[[#This Row],[Fecha]],"mmmm")</f>
        <v>Noviembre</v>
      </c>
      <c r="K264" s="43">
        <f>WEEKNUM(tbl_dashboard[[#This Row],[Fecha]],2)</f>
        <v>48</v>
      </c>
    </row>
    <row r="265" spans="2:11" x14ac:dyDescent="0.2">
      <c r="B265" s="75">
        <v>44524</v>
      </c>
      <c r="C265" s="43" t="s">
        <v>177</v>
      </c>
      <c r="D265" s="43" t="s">
        <v>168</v>
      </c>
      <c r="E265" s="43" t="s">
        <v>166</v>
      </c>
      <c r="F265" s="43" t="s">
        <v>163</v>
      </c>
      <c r="G265" s="43">
        <v>9957</v>
      </c>
      <c r="H265" s="43">
        <v>2887.53</v>
      </c>
      <c r="I265" s="43">
        <f>YEAR(tbl_dashboard[[#This Row],[Fecha]])</f>
        <v>2021</v>
      </c>
      <c r="J265" s="43" t="str">
        <f>TEXT(tbl_dashboard[[#This Row],[Fecha]],"mmmm")</f>
        <v>Noviembre</v>
      </c>
      <c r="K265" s="43">
        <f>WEEKNUM(tbl_dashboard[[#This Row],[Fecha]],2)</f>
        <v>48</v>
      </c>
    </row>
    <row r="266" spans="2:11" x14ac:dyDescent="0.2">
      <c r="B266" s="75">
        <v>44524</v>
      </c>
      <c r="C266" s="43" t="s">
        <v>178</v>
      </c>
      <c r="D266" s="43" t="s">
        <v>161</v>
      </c>
      <c r="E266" s="43" t="s">
        <v>162</v>
      </c>
      <c r="F266" s="43" t="s">
        <v>163</v>
      </c>
      <c r="G266" s="43">
        <v>5605</v>
      </c>
      <c r="H266" s="43">
        <v>1849.65</v>
      </c>
      <c r="I266" s="43">
        <f>YEAR(tbl_dashboard[[#This Row],[Fecha]])</f>
        <v>2021</v>
      </c>
      <c r="J266" s="43" t="str">
        <f>TEXT(tbl_dashboard[[#This Row],[Fecha]],"mmmm")</f>
        <v>Noviembre</v>
      </c>
      <c r="K266" s="43">
        <f>WEEKNUM(tbl_dashboard[[#This Row],[Fecha]],2)</f>
        <v>48</v>
      </c>
    </row>
    <row r="267" spans="2:11" x14ac:dyDescent="0.2">
      <c r="B267" s="75">
        <v>44524</v>
      </c>
      <c r="C267" s="43" t="s">
        <v>179</v>
      </c>
      <c r="D267" s="43" t="s">
        <v>161</v>
      </c>
      <c r="E267" s="43" t="s">
        <v>162</v>
      </c>
      <c r="F267" s="43" t="s">
        <v>169</v>
      </c>
      <c r="G267" s="43">
        <v>9870</v>
      </c>
      <c r="H267" s="43">
        <v>2566.1999999999998</v>
      </c>
      <c r="I267" s="43">
        <f>YEAR(tbl_dashboard[[#This Row],[Fecha]])</f>
        <v>2021</v>
      </c>
      <c r="J267" s="43" t="str">
        <f>TEXT(tbl_dashboard[[#This Row],[Fecha]],"mmmm")</f>
        <v>Noviembre</v>
      </c>
      <c r="K267" s="43">
        <f>WEEKNUM(tbl_dashboard[[#This Row],[Fecha]],2)</f>
        <v>48</v>
      </c>
    </row>
    <row r="268" spans="2:11" x14ac:dyDescent="0.2">
      <c r="B268" s="75">
        <v>44524</v>
      </c>
      <c r="C268" s="43" t="s">
        <v>180</v>
      </c>
      <c r="D268" s="43" t="s">
        <v>168</v>
      </c>
      <c r="E268" s="43" t="s">
        <v>166</v>
      </c>
      <c r="F268" s="43" t="s">
        <v>169</v>
      </c>
      <c r="G268" s="43">
        <v>11359</v>
      </c>
      <c r="H268" s="43">
        <v>2044.62</v>
      </c>
      <c r="I268" s="43">
        <f>YEAR(tbl_dashboard[[#This Row],[Fecha]])</f>
        <v>2021</v>
      </c>
      <c r="J268" s="43" t="str">
        <f>TEXT(tbl_dashboard[[#This Row],[Fecha]],"mmmm")</f>
        <v>Noviembre</v>
      </c>
      <c r="K268" s="43">
        <f>WEEKNUM(tbl_dashboard[[#This Row],[Fecha]],2)</f>
        <v>48</v>
      </c>
    </row>
    <row r="269" spans="2:11" x14ac:dyDescent="0.2">
      <c r="B269" s="75">
        <v>44561</v>
      </c>
      <c r="C269" s="43" t="s">
        <v>160</v>
      </c>
      <c r="D269" s="43" t="s">
        <v>161</v>
      </c>
      <c r="E269" s="43" t="s">
        <v>162</v>
      </c>
      <c r="F269" s="43" t="s">
        <v>163</v>
      </c>
      <c r="G269" s="43">
        <v>9217</v>
      </c>
      <c r="H269" s="43">
        <v>3963.31</v>
      </c>
      <c r="I269" s="43">
        <f>YEAR(tbl_dashboard[[#This Row],[Fecha]])</f>
        <v>2021</v>
      </c>
      <c r="J269" s="43" t="str">
        <f>TEXT(tbl_dashboard[[#This Row],[Fecha]],"mmmm")</f>
        <v>Diciembre</v>
      </c>
      <c r="K269" s="43">
        <f>WEEKNUM(tbl_dashboard[[#This Row],[Fecha]],2)</f>
        <v>53</v>
      </c>
    </row>
    <row r="270" spans="2:11" x14ac:dyDescent="0.2">
      <c r="B270" s="75">
        <v>44561</v>
      </c>
      <c r="C270" s="43" t="s">
        <v>164</v>
      </c>
      <c r="D270" s="43" t="s">
        <v>168</v>
      </c>
      <c r="E270" s="43" t="s">
        <v>162</v>
      </c>
      <c r="F270" s="43" t="s">
        <v>163</v>
      </c>
      <c r="G270" s="43">
        <v>4345</v>
      </c>
      <c r="H270" s="43">
        <v>825.55</v>
      </c>
      <c r="I270" s="43">
        <f>YEAR(tbl_dashboard[[#This Row],[Fecha]])</f>
        <v>2021</v>
      </c>
      <c r="J270" s="43" t="str">
        <f>TEXT(tbl_dashboard[[#This Row],[Fecha]],"mmmm")</f>
        <v>Diciembre</v>
      </c>
      <c r="K270" s="43">
        <f>WEEKNUM(tbl_dashboard[[#This Row],[Fecha]],2)</f>
        <v>53</v>
      </c>
    </row>
    <row r="271" spans="2:11" x14ac:dyDescent="0.2">
      <c r="B271" s="75">
        <v>44560</v>
      </c>
      <c r="C271" s="43" t="s">
        <v>167</v>
      </c>
      <c r="D271" s="43" t="s">
        <v>168</v>
      </c>
      <c r="E271" s="43" t="s">
        <v>162</v>
      </c>
      <c r="F271" s="43" t="s">
        <v>169</v>
      </c>
      <c r="G271" s="43">
        <v>9723</v>
      </c>
      <c r="H271" s="43">
        <v>1555.68</v>
      </c>
      <c r="I271" s="43">
        <f>YEAR(tbl_dashboard[[#This Row],[Fecha]])</f>
        <v>2021</v>
      </c>
      <c r="J271" s="43" t="str">
        <f>TEXT(tbl_dashboard[[#This Row],[Fecha]],"mmmm")</f>
        <v>Diciembre</v>
      </c>
      <c r="K271" s="43">
        <f>WEEKNUM(tbl_dashboard[[#This Row],[Fecha]],2)</f>
        <v>53</v>
      </c>
    </row>
    <row r="272" spans="2:11" x14ac:dyDescent="0.2">
      <c r="B272" s="75">
        <v>44556</v>
      </c>
      <c r="C272" s="43" t="s">
        <v>170</v>
      </c>
      <c r="D272" s="43" t="s">
        <v>168</v>
      </c>
      <c r="E272" s="43" t="s">
        <v>162</v>
      </c>
      <c r="F272" s="43" t="s">
        <v>163</v>
      </c>
      <c r="G272" s="43">
        <v>7952</v>
      </c>
      <c r="H272" s="43">
        <v>2783.2</v>
      </c>
      <c r="I272" s="43">
        <f>YEAR(tbl_dashboard[[#This Row],[Fecha]])</f>
        <v>2021</v>
      </c>
      <c r="J272" s="43" t="str">
        <f>TEXT(tbl_dashboard[[#This Row],[Fecha]],"mmmm")</f>
        <v>Diciembre</v>
      </c>
      <c r="K272" s="43">
        <f>WEEKNUM(tbl_dashboard[[#This Row],[Fecha]],2)</f>
        <v>52</v>
      </c>
    </row>
    <row r="273" spans="2:11" x14ac:dyDescent="0.2">
      <c r="B273" s="75">
        <v>44555</v>
      </c>
      <c r="C273" s="43" t="s">
        <v>171</v>
      </c>
      <c r="D273" s="43" t="s">
        <v>168</v>
      </c>
      <c r="E273" s="43" t="s">
        <v>162</v>
      </c>
      <c r="F273" s="43" t="s">
        <v>169</v>
      </c>
      <c r="G273" s="43">
        <v>6961</v>
      </c>
      <c r="H273" s="43">
        <v>1531.42</v>
      </c>
      <c r="I273" s="43">
        <f>YEAR(tbl_dashboard[[#This Row],[Fecha]])</f>
        <v>2021</v>
      </c>
      <c r="J273" s="43" t="str">
        <f>TEXT(tbl_dashboard[[#This Row],[Fecha]],"mmmm")</f>
        <v>Diciembre</v>
      </c>
      <c r="K273" s="43">
        <f>WEEKNUM(tbl_dashboard[[#This Row],[Fecha]],2)</f>
        <v>52</v>
      </c>
    </row>
    <row r="274" spans="2:11" x14ac:dyDescent="0.2">
      <c r="B274" s="75">
        <v>44555</v>
      </c>
      <c r="C274" s="43" t="s">
        <v>172</v>
      </c>
      <c r="D274" s="43" t="s">
        <v>165</v>
      </c>
      <c r="E274" s="43" t="s">
        <v>166</v>
      </c>
      <c r="F274" s="43" t="s">
        <v>169</v>
      </c>
      <c r="G274" s="43">
        <v>6548</v>
      </c>
      <c r="H274" s="43">
        <v>1440.56</v>
      </c>
      <c r="I274" s="43">
        <f>YEAR(tbl_dashboard[[#This Row],[Fecha]])</f>
        <v>2021</v>
      </c>
      <c r="J274" s="43" t="str">
        <f>TEXT(tbl_dashboard[[#This Row],[Fecha]],"mmmm")</f>
        <v>Diciembre</v>
      </c>
      <c r="K274" s="43">
        <f>WEEKNUM(tbl_dashboard[[#This Row],[Fecha]],2)</f>
        <v>52</v>
      </c>
    </row>
    <row r="275" spans="2:11" x14ac:dyDescent="0.2">
      <c r="B275" s="75">
        <v>44555</v>
      </c>
      <c r="C275" s="43" t="s">
        <v>173</v>
      </c>
      <c r="D275" s="43" t="s">
        <v>168</v>
      </c>
      <c r="E275" s="43" t="s">
        <v>162</v>
      </c>
      <c r="F275" s="43" t="s">
        <v>169</v>
      </c>
      <c r="G275" s="43">
        <v>3593</v>
      </c>
      <c r="H275" s="43">
        <v>1077.9000000000001</v>
      </c>
      <c r="I275" s="43">
        <f>YEAR(tbl_dashboard[[#This Row],[Fecha]])</f>
        <v>2021</v>
      </c>
      <c r="J275" s="43" t="str">
        <f>TEXT(tbl_dashboard[[#This Row],[Fecha]],"mmmm")</f>
        <v>Diciembre</v>
      </c>
      <c r="K275" s="43">
        <f>WEEKNUM(tbl_dashboard[[#This Row],[Fecha]],2)</f>
        <v>52</v>
      </c>
    </row>
    <row r="276" spans="2:11" x14ac:dyDescent="0.2">
      <c r="B276" s="75">
        <v>44555</v>
      </c>
      <c r="C276" s="43" t="s">
        <v>174</v>
      </c>
      <c r="D276" s="43" t="s">
        <v>161</v>
      </c>
      <c r="E276" s="43" t="s">
        <v>162</v>
      </c>
      <c r="F276" s="43" t="s">
        <v>169</v>
      </c>
      <c r="G276" s="43">
        <v>5853</v>
      </c>
      <c r="H276" s="43">
        <v>1872.96</v>
      </c>
      <c r="I276" s="43">
        <f>YEAR(tbl_dashboard[[#This Row],[Fecha]])</f>
        <v>2021</v>
      </c>
      <c r="J276" s="43" t="str">
        <f>TEXT(tbl_dashboard[[#This Row],[Fecha]],"mmmm")</f>
        <v>Diciembre</v>
      </c>
      <c r="K276" s="43">
        <f>WEEKNUM(tbl_dashboard[[#This Row],[Fecha]],2)</f>
        <v>52</v>
      </c>
    </row>
    <row r="277" spans="2:11" x14ac:dyDescent="0.2">
      <c r="B277" s="75">
        <v>44554</v>
      </c>
      <c r="C277" s="43" t="s">
        <v>175</v>
      </c>
      <c r="D277" s="43" t="s">
        <v>165</v>
      </c>
      <c r="E277" s="43" t="s">
        <v>162</v>
      </c>
      <c r="F277" s="43" t="s">
        <v>169</v>
      </c>
      <c r="G277" s="43">
        <v>5275</v>
      </c>
      <c r="H277" s="43">
        <v>844</v>
      </c>
      <c r="I277" s="43">
        <f>YEAR(tbl_dashboard[[#This Row],[Fecha]])</f>
        <v>2021</v>
      </c>
      <c r="J277" s="43" t="str">
        <f>TEXT(tbl_dashboard[[#This Row],[Fecha]],"mmmm")</f>
        <v>Diciembre</v>
      </c>
      <c r="K277" s="43">
        <f>WEEKNUM(tbl_dashboard[[#This Row],[Fecha]],2)</f>
        <v>52</v>
      </c>
    </row>
    <row r="278" spans="2:11" x14ac:dyDescent="0.2">
      <c r="B278" s="75">
        <v>44560</v>
      </c>
      <c r="C278" s="43" t="s">
        <v>176</v>
      </c>
      <c r="D278" s="43" t="s">
        <v>168</v>
      </c>
      <c r="E278" s="43" t="s">
        <v>166</v>
      </c>
      <c r="F278" s="43" t="s">
        <v>163</v>
      </c>
      <c r="G278" s="43">
        <v>11826</v>
      </c>
      <c r="H278" s="43">
        <v>2601.7199999999998</v>
      </c>
      <c r="I278" s="43">
        <f>YEAR(tbl_dashboard[[#This Row],[Fecha]])</f>
        <v>2021</v>
      </c>
      <c r="J278" s="43" t="str">
        <f>TEXT(tbl_dashboard[[#This Row],[Fecha]],"mmmm")</f>
        <v>Diciembre</v>
      </c>
      <c r="K278" s="43">
        <f>WEEKNUM(tbl_dashboard[[#This Row],[Fecha]],2)</f>
        <v>53</v>
      </c>
    </row>
    <row r="279" spans="2:11" x14ac:dyDescent="0.2">
      <c r="B279" s="75">
        <v>44560</v>
      </c>
      <c r="C279" s="43" t="s">
        <v>177</v>
      </c>
      <c r="D279" s="43" t="s">
        <v>165</v>
      </c>
      <c r="E279" s="43" t="s">
        <v>162</v>
      </c>
      <c r="F279" s="43" t="s">
        <v>163</v>
      </c>
      <c r="G279" s="43">
        <v>2409</v>
      </c>
      <c r="H279" s="43">
        <v>385.44</v>
      </c>
      <c r="I279" s="43">
        <f>YEAR(tbl_dashboard[[#This Row],[Fecha]])</f>
        <v>2021</v>
      </c>
      <c r="J279" s="43" t="str">
        <f>TEXT(tbl_dashboard[[#This Row],[Fecha]],"mmmm")</f>
        <v>Diciembre</v>
      </c>
      <c r="K279" s="43">
        <f>WEEKNUM(tbl_dashboard[[#This Row],[Fecha]],2)</f>
        <v>53</v>
      </c>
    </row>
    <row r="280" spans="2:11" x14ac:dyDescent="0.2">
      <c r="B280" s="75">
        <v>44560</v>
      </c>
      <c r="C280" s="43" t="s">
        <v>178</v>
      </c>
      <c r="D280" s="43" t="s">
        <v>165</v>
      </c>
      <c r="E280" s="43" t="s">
        <v>166</v>
      </c>
      <c r="F280" s="43" t="s">
        <v>169</v>
      </c>
      <c r="G280" s="43">
        <v>7454</v>
      </c>
      <c r="H280" s="43">
        <v>2907.06</v>
      </c>
      <c r="I280" s="43">
        <f>YEAR(tbl_dashboard[[#This Row],[Fecha]])</f>
        <v>2021</v>
      </c>
      <c r="J280" s="43" t="str">
        <f>TEXT(tbl_dashboard[[#This Row],[Fecha]],"mmmm")</f>
        <v>Diciembre</v>
      </c>
      <c r="K280" s="43">
        <f>WEEKNUM(tbl_dashboard[[#This Row],[Fecha]],2)</f>
        <v>53</v>
      </c>
    </row>
    <row r="281" spans="2:11" x14ac:dyDescent="0.2">
      <c r="B281" s="75">
        <v>44560</v>
      </c>
      <c r="C281" s="43" t="s">
        <v>179</v>
      </c>
      <c r="D281" s="43" t="s">
        <v>165</v>
      </c>
      <c r="E281" s="43" t="s">
        <v>166</v>
      </c>
      <c r="F281" s="43" t="s">
        <v>169</v>
      </c>
      <c r="G281" s="43">
        <v>9160</v>
      </c>
      <c r="H281" s="43">
        <v>3572.4</v>
      </c>
      <c r="I281" s="43">
        <f>YEAR(tbl_dashboard[[#This Row],[Fecha]])</f>
        <v>2021</v>
      </c>
      <c r="J281" s="43" t="str">
        <f>TEXT(tbl_dashboard[[#This Row],[Fecha]],"mmmm")</f>
        <v>Diciembre</v>
      </c>
      <c r="K281" s="43">
        <f>WEEKNUM(tbl_dashboard[[#This Row],[Fecha]],2)</f>
        <v>53</v>
      </c>
    </row>
    <row r="282" spans="2:11" x14ac:dyDescent="0.2">
      <c r="B282" s="75">
        <v>44560</v>
      </c>
      <c r="C282" s="43" t="s">
        <v>180</v>
      </c>
      <c r="D282" s="43" t="s">
        <v>161</v>
      </c>
      <c r="E282" s="43" t="s">
        <v>162</v>
      </c>
      <c r="F282" s="43" t="s">
        <v>163</v>
      </c>
      <c r="G282" s="43">
        <v>3444</v>
      </c>
      <c r="H282" s="43">
        <v>723.24</v>
      </c>
      <c r="I282" s="43">
        <f>YEAR(tbl_dashboard[[#This Row],[Fecha]])</f>
        <v>2021</v>
      </c>
      <c r="J282" s="43" t="str">
        <f>TEXT(tbl_dashboard[[#This Row],[Fecha]],"mmmm")</f>
        <v>Diciembre</v>
      </c>
      <c r="K282" s="43">
        <f>WEEKNUM(tbl_dashboard[[#This Row],[Fecha]],2)</f>
        <v>53</v>
      </c>
    </row>
    <row r="283" spans="2:11" x14ac:dyDescent="0.2">
      <c r="B283" s="75">
        <v>44560</v>
      </c>
      <c r="C283" s="43" t="s">
        <v>181</v>
      </c>
      <c r="D283" s="43" t="s">
        <v>168</v>
      </c>
      <c r="E283" s="43" t="s">
        <v>166</v>
      </c>
      <c r="F283" s="43" t="s">
        <v>163</v>
      </c>
      <c r="G283" s="43">
        <v>10015</v>
      </c>
      <c r="H283" s="43">
        <v>2203.3000000000002</v>
      </c>
      <c r="I283" s="43">
        <f>YEAR(tbl_dashboard[[#This Row],[Fecha]])</f>
        <v>2021</v>
      </c>
      <c r="J283" s="43" t="str">
        <f>TEXT(tbl_dashboard[[#This Row],[Fecha]],"mmmm")</f>
        <v>Diciembre</v>
      </c>
      <c r="K283" s="43">
        <f>WEEKNUM(tbl_dashboard[[#This Row],[Fecha]],2)</f>
        <v>53</v>
      </c>
    </row>
    <row r="284" spans="2:11" x14ac:dyDescent="0.2">
      <c r="B284" s="75">
        <v>44560</v>
      </c>
      <c r="C284" s="43" t="s">
        <v>182</v>
      </c>
      <c r="D284" s="43" t="s">
        <v>168</v>
      </c>
      <c r="E284" s="43" t="s">
        <v>166</v>
      </c>
      <c r="F284" s="43" t="s">
        <v>169</v>
      </c>
      <c r="G284" s="43">
        <v>9346</v>
      </c>
      <c r="H284" s="43">
        <v>1869.2</v>
      </c>
      <c r="I284" s="43">
        <f>YEAR(tbl_dashboard[[#This Row],[Fecha]])</f>
        <v>2021</v>
      </c>
      <c r="J284" s="43" t="str">
        <f>TEXT(tbl_dashboard[[#This Row],[Fecha]],"mmmm")</f>
        <v>Diciembre</v>
      </c>
      <c r="K284" s="43">
        <f>WEEKNUM(tbl_dashboard[[#This Row],[Fecha]],2)</f>
        <v>53</v>
      </c>
    </row>
    <row r="285" spans="2:11" x14ac:dyDescent="0.2">
      <c r="B285" s="75">
        <v>44556</v>
      </c>
      <c r="C285" s="43" t="s">
        <v>183</v>
      </c>
      <c r="D285" s="43" t="s">
        <v>168</v>
      </c>
      <c r="E285" s="43" t="s">
        <v>162</v>
      </c>
      <c r="F285" s="43" t="s">
        <v>163</v>
      </c>
      <c r="G285" s="43">
        <v>1088</v>
      </c>
      <c r="H285" s="43">
        <v>348.16</v>
      </c>
      <c r="I285" s="43">
        <f>YEAR(tbl_dashboard[[#This Row],[Fecha]])</f>
        <v>2021</v>
      </c>
      <c r="J285" s="43" t="str">
        <f>TEXT(tbl_dashboard[[#This Row],[Fecha]],"mmmm")</f>
        <v>Diciembre</v>
      </c>
      <c r="K285" s="43">
        <f>WEEKNUM(tbl_dashboard[[#This Row],[Fecha]],2)</f>
        <v>52</v>
      </c>
    </row>
    <row r="286" spans="2:11" x14ac:dyDescent="0.2">
      <c r="B286" s="75">
        <v>44555</v>
      </c>
      <c r="C286" s="43" t="s">
        <v>184</v>
      </c>
      <c r="D286" s="43" t="s">
        <v>165</v>
      </c>
      <c r="E286" s="43" t="s">
        <v>162</v>
      </c>
      <c r="F286" s="43" t="s">
        <v>169</v>
      </c>
      <c r="G286" s="43">
        <v>8624</v>
      </c>
      <c r="H286" s="43">
        <v>2500.96</v>
      </c>
      <c r="I286" s="43">
        <f>YEAR(tbl_dashboard[[#This Row],[Fecha]])</f>
        <v>2021</v>
      </c>
      <c r="J286" s="43" t="str">
        <f>TEXT(tbl_dashboard[[#This Row],[Fecha]],"mmmm")</f>
        <v>Diciembre</v>
      </c>
      <c r="K286" s="43">
        <f>WEEKNUM(tbl_dashboard[[#This Row],[Fecha]],2)</f>
        <v>52</v>
      </c>
    </row>
    <row r="287" spans="2:11" x14ac:dyDescent="0.2">
      <c r="B287" s="75">
        <v>44555</v>
      </c>
      <c r="C287" s="43" t="s">
        <v>185</v>
      </c>
      <c r="D287" s="43" t="s">
        <v>168</v>
      </c>
      <c r="E287" s="43" t="s">
        <v>166</v>
      </c>
      <c r="F287" s="43" t="s">
        <v>169</v>
      </c>
      <c r="G287" s="43">
        <v>5160</v>
      </c>
      <c r="H287" s="43">
        <v>928.8</v>
      </c>
      <c r="I287" s="43">
        <f>YEAR(tbl_dashboard[[#This Row],[Fecha]])</f>
        <v>2021</v>
      </c>
      <c r="J287" s="43" t="str">
        <f>TEXT(tbl_dashboard[[#This Row],[Fecha]],"mmmm")</f>
        <v>Diciembre</v>
      </c>
      <c r="K287" s="43">
        <f>WEEKNUM(tbl_dashboard[[#This Row],[Fecha]],2)</f>
        <v>52</v>
      </c>
    </row>
    <row r="288" spans="2:11" x14ac:dyDescent="0.2">
      <c r="B288" s="75">
        <v>44555</v>
      </c>
      <c r="C288" s="43" t="s">
        <v>186</v>
      </c>
      <c r="D288" s="43" t="s">
        <v>161</v>
      </c>
      <c r="E288" s="43" t="s">
        <v>162</v>
      </c>
      <c r="F288" s="43" t="s">
        <v>169</v>
      </c>
      <c r="G288" s="43">
        <v>3752</v>
      </c>
      <c r="H288" s="43">
        <v>1238.1600000000001</v>
      </c>
      <c r="I288" s="43">
        <f>YEAR(tbl_dashboard[[#This Row],[Fecha]])</f>
        <v>2021</v>
      </c>
      <c r="J288" s="43" t="str">
        <f>TEXT(tbl_dashboard[[#This Row],[Fecha]],"mmmm")</f>
        <v>Diciembre</v>
      </c>
      <c r="K288" s="43">
        <f>WEEKNUM(tbl_dashboard[[#This Row],[Fecha]],2)</f>
        <v>52</v>
      </c>
    </row>
    <row r="289" spans="2:11" x14ac:dyDescent="0.2">
      <c r="B289" s="75">
        <v>44555</v>
      </c>
      <c r="C289" s="43" t="s">
        <v>187</v>
      </c>
      <c r="D289" s="43" t="s">
        <v>165</v>
      </c>
      <c r="E289" s="43" t="s">
        <v>162</v>
      </c>
      <c r="F289" s="43" t="s">
        <v>169</v>
      </c>
      <c r="G289" s="43">
        <v>3376</v>
      </c>
      <c r="H289" s="43">
        <v>1080.32</v>
      </c>
      <c r="I289" s="43">
        <f>YEAR(tbl_dashboard[[#This Row],[Fecha]])</f>
        <v>2021</v>
      </c>
      <c r="J289" s="43" t="str">
        <f>TEXT(tbl_dashboard[[#This Row],[Fecha]],"mmmm")</f>
        <v>Diciembre</v>
      </c>
      <c r="K289" s="43">
        <f>WEEKNUM(tbl_dashboard[[#This Row],[Fecha]],2)</f>
        <v>52</v>
      </c>
    </row>
    <row r="290" spans="2:11" x14ac:dyDescent="0.2">
      <c r="B290" s="75">
        <v>44555</v>
      </c>
      <c r="C290" s="43" t="s">
        <v>188</v>
      </c>
      <c r="D290" s="43" t="s">
        <v>161</v>
      </c>
      <c r="E290" s="43" t="s">
        <v>162</v>
      </c>
      <c r="F290" s="43" t="s">
        <v>169</v>
      </c>
      <c r="G290" s="43">
        <v>8341</v>
      </c>
      <c r="H290" s="43">
        <v>2085.25</v>
      </c>
      <c r="I290" s="43">
        <f>YEAR(tbl_dashboard[[#This Row],[Fecha]])</f>
        <v>2021</v>
      </c>
      <c r="J290" s="43" t="str">
        <f>TEXT(tbl_dashboard[[#This Row],[Fecha]],"mmmm")</f>
        <v>Diciembre</v>
      </c>
      <c r="K290" s="43">
        <f>WEEKNUM(tbl_dashboard[[#This Row],[Fecha]],2)</f>
        <v>52</v>
      </c>
    </row>
    <row r="291" spans="2:11" x14ac:dyDescent="0.2">
      <c r="B291" s="75">
        <v>43861</v>
      </c>
      <c r="C291" s="43" t="s">
        <v>160</v>
      </c>
      <c r="D291" s="43" t="s">
        <v>161</v>
      </c>
      <c r="E291" s="43" t="s">
        <v>162</v>
      </c>
      <c r="F291" s="43" t="s">
        <v>163</v>
      </c>
      <c r="G291" s="43">
        <v>4423</v>
      </c>
      <c r="H291" s="43">
        <v>707.68</v>
      </c>
      <c r="I291" s="43">
        <f>YEAR(tbl_dashboard[[#This Row],[Fecha]])</f>
        <v>2020</v>
      </c>
      <c r="J291" s="43" t="str">
        <f>TEXT(tbl_dashboard[[#This Row],[Fecha]],"mmmm")</f>
        <v>Enero</v>
      </c>
      <c r="K291" s="43">
        <f>WEEKNUM(tbl_dashboard[[#This Row],[Fecha]],2)</f>
        <v>5</v>
      </c>
    </row>
    <row r="292" spans="2:11" x14ac:dyDescent="0.2">
      <c r="B292" s="75">
        <v>43861</v>
      </c>
      <c r="C292" s="43" t="s">
        <v>164</v>
      </c>
      <c r="D292" s="43" t="s">
        <v>165</v>
      </c>
      <c r="E292" s="43" t="s">
        <v>166</v>
      </c>
      <c r="F292" s="43" t="s">
        <v>163</v>
      </c>
      <c r="G292" s="43">
        <v>11716</v>
      </c>
      <c r="H292" s="43">
        <v>1757.4</v>
      </c>
      <c r="I292" s="43">
        <f>YEAR(tbl_dashboard[[#This Row],[Fecha]])</f>
        <v>2020</v>
      </c>
      <c r="J292" s="43" t="str">
        <f>TEXT(tbl_dashboard[[#This Row],[Fecha]],"mmmm")</f>
        <v>Enero</v>
      </c>
      <c r="K292" s="43">
        <f>WEEKNUM(tbl_dashboard[[#This Row],[Fecha]],2)</f>
        <v>5</v>
      </c>
    </row>
    <row r="293" spans="2:11" x14ac:dyDescent="0.2">
      <c r="B293" s="75">
        <v>43861</v>
      </c>
      <c r="C293" s="43" t="s">
        <v>167</v>
      </c>
      <c r="D293" s="43" t="s">
        <v>168</v>
      </c>
      <c r="E293" s="43" t="s">
        <v>166</v>
      </c>
      <c r="F293" s="43" t="s">
        <v>169</v>
      </c>
      <c r="G293" s="43">
        <v>1866</v>
      </c>
      <c r="H293" s="43">
        <v>578.46</v>
      </c>
      <c r="I293" s="43">
        <f>YEAR(tbl_dashboard[[#This Row],[Fecha]])</f>
        <v>2020</v>
      </c>
      <c r="J293" s="43" t="str">
        <f>TEXT(tbl_dashboard[[#This Row],[Fecha]],"mmmm")</f>
        <v>Enero</v>
      </c>
      <c r="K293" s="43">
        <f>WEEKNUM(tbl_dashboard[[#This Row],[Fecha]],2)</f>
        <v>5</v>
      </c>
    </row>
    <row r="294" spans="2:11" x14ac:dyDescent="0.2">
      <c r="B294" s="75">
        <v>43861</v>
      </c>
      <c r="C294" s="43" t="s">
        <v>170</v>
      </c>
      <c r="D294" s="43" t="s">
        <v>165</v>
      </c>
      <c r="E294" s="43" t="s">
        <v>162</v>
      </c>
      <c r="F294" s="43" t="s">
        <v>169</v>
      </c>
      <c r="G294" s="43">
        <v>4535</v>
      </c>
      <c r="H294" s="43">
        <v>2040.75</v>
      </c>
      <c r="I294" s="43">
        <f>YEAR(tbl_dashboard[[#This Row],[Fecha]])</f>
        <v>2020</v>
      </c>
      <c r="J294" s="43" t="str">
        <f>TEXT(tbl_dashboard[[#This Row],[Fecha]],"mmmm")</f>
        <v>Enero</v>
      </c>
      <c r="K294" s="43">
        <f>WEEKNUM(tbl_dashboard[[#This Row],[Fecha]],2)</f>
        <v>5</v>
      </c>
    </row>
    <row r="295" spans="2:11" x14ac:dyDescent="0.2">
      <c r="B295" s="75">
        <v>43861</v>
      </c>
      <c r="C295" s="43" t="s">
        <v>171</v>
      </c>
      <c r="D295" s="43" t="s">
        <v>165</v>
      </c>
      <c r="E295" s="43" t="s">
        <v>162</v>
      </c>
      <c r="F295" s="43" t="s">
        <v>163</v>
      </c>
      <c r="G295" s="43">
        <v>5924</v>
      </c>
      <c r="H295" s="43">
        <v>2073.4</v>
      </c>
      <c r="I295" s="43">
        <f>YEAR(tbl_dashboard[[#This Row],[Fecha]])</f>
        <v>2020</v>
      </c>
      <c r="J295" s="43" t="str">
        <f>TEXT(tbl_dashboard[[#This Row],[Fecha]],"mmmm")</f>
        <v>Enero</v>
      </c>
      <c r="K295" s="43">
        <f>WEEKNUM(tbl_dashboard[[#This Row],[Fecha]],2)</f>
        <v>5</v>
      </c>
    </row>
    <row r="296" spans="2:11" x14ac:dyDescent="0.2">
      <c r="B296" s="75">
        <v>43861</v>
      </c>
      <c r="C296" s="43" t="s">
        <v>172</v>
      </c>
      <c r="D296" s="43" t="s">
        <v>165</v>
      </c>
      <c r="E296" s="43" t="s">
        <v>162</v>
      </c>
      <c r="F296" s="43" t="s">
        <v>163</v>
      </c>
      <c r="G296" s="43">
        <v>4789</v>
      </c>
      <c r="H296" s="43">
        <v>1388.81</v>
      </c>
      <c r="I296" s="43">
        <f>YEAR(tbl_dashboard[[#This Row],[Fecha]])</f>
        <v>2020</v>
      </c>
      <c r="J296" s="43" t="str">
        <f>TEXT(tbl_dashboard[[#This Row],[Fecha]],"mmmm")</f>
        <v>Enero</v>
      </c>
      <c r="K296" s="43">
        <f>WEEKNUM(tbl_dashboard[[#This Row],[Fecha]],2)</f>
        <v>5</v>
      </c>
    </row>
    <row r="297" spans="2:11" x14ac:dyDescent="0.2">
      <c r="B297" s="75">
        <v>43860</v>
      </c>
      <c r="C297" s="43" t="s">
        <v>173</v>
      </c>
      <c r="D297" s="43" t="s">
        <v>161</v>
      </c>
      <c r="E297" s="43" t="s">
        <v>166</v>
      </c>
      <c r="F297" s="43" t="s">
        <v>169</v>
      </c>
      <c r="G297" s="43">
        <v>4853</v>
      </c>
      <c r="H297" s="43">
        <v>1941.2</v>
      </c>
      <c r="I297" s="43">
        <f>YEAR(tbl_dashboard[[#This Row],[Fecha]])</f>
        <v>2020</v>
      </c>
      <c r="J297" s="43" t="str">
        <f>TEXT(tbl_dashboard[[#This Row],[Fecha]],"mmmm")</f>
        <v>Enero</v>
      </c>
      <c r="K297" s="43">
        <f>WEEKNUM(tbl_dashboard[[#This Row],[Fecha]],2)</f>
        <v>5</v>
      </c>
    </row>
    <row r="298" spans="2:11" x14ac:dyDescent="0.2">
      <c r="B298" s="75">
        <v>43856</v>
      </c>
      <c r="C298" s="43" t="s">
        <v>174</v>
      </c>
      <c r="D298" s="43" t="s">
        <v>165</v>
      </c>
      <c r="E298" s="43" t="s">
        <v>166</v>
      </c>
      <c r="F298" s="43" t="s">
        <v>163</v>
      </c>
      <c r="G298" s="43">
        <v>6444</v>
      </c>
      <c r="H298" s="43">
        <v>2706.48</v>
      </c>
      <c r="I298" s="43">
        <f>YEAR(tbl_dashboard[[#This Row],[Fecha]])</f>
        <v>2020</v>
      </c>
      <c r="J298" s="43" t="str">
        <f>TEXT(tbl_dashboard[[#This Row],[Fecha]],"mmmm")</f>
        <v>Enero</v>
      </c>
      <c r="K298" s="43">
        <f>WEEKNUM(tbl_dashboard[[#This Row],[Fecha]],2)</f>
        <v>4</v>
      </c>
    </row>
    <row r="299" spans="2:11" x14ac:dyDescent="0.2">
      <c r="B299" s="75">
        <v>43855</v>
      </c>
      <c r="C299" s="43" t="s">
        <v>175</v>
      </c>
      <c r="D299" s="43" t="s">
        <v>168</v>
      </c>
      <c r="E299" s="43" t="s">
        <v>166</v>
      </c>
      <c r="F299" s="43" t="s">
        <v>169</v>
      </c>
      <c r="G299" s="43">
        <v>7286</v>
      </c>
      <c r="H299" s="43">
        <v>1821.5</v>
      </c>
      <c r="I299" s="43">
        <f>YEAR(tbl_dashboard[[#This Row],[Fecha]])</f>
        <v>2020</v>
      </c>
      <c r="J299" s="43" t="str">
        <f>TEXT(tbl_dashboard[[#This Row],[Fecha]],"mmmm")</f>
        <v>Enero</v>
      </c>
      <c r="K299" s="43">
        <f>WEEKNUM(tbl_dashboard[[#This Row],[Fecha]],2)</f>
        <v>4</v>
      </c>
    </row>
    <row r="300" spans="2:11" x14ac:dyDescent="0.2">
      <c r="B300" s="75">
        <v>43855</v>
      </c>
      <c r="C300" s="43" t="s">
        <v>176</v>
      </c>
      <c r="D300" s="43" t="s">
        <v>161</v>
      </c>
      <c r="E300" s="43" t="s">
        <v>166</v>
      </c>
      <c r="F300" s="43" t="s">
        <v>169</v>
      </c>
      <c r="G300" s="43">
        <v>5419</v>
      </c>
      <c r="H300" s="43">
        <v>867.04</v>
      </c>
      <c r="I300" s="43">
        <f>YEAR(tbl_dashboard[[#This Row],[Fecha]])</f>
        <v>2020</v>
      </c>
      <c r="J300" s="43" t="str">
        <f>TEXT(tbl_dashboard[[#This Row],[Fecha]],"mmmm")</f>
        <v>Enero</v>
      </c>
      <c r="K300" s="43">
        <f>WEEKNUM(tbl_dashboard[[#This Row],[Fecha]],2)</f>
        <v>4</v>
      </c>
    </row>
    <row r="301" spans="2:11" x14ac:dyDescent="0.2">
      <c r="B301" s="75">
        <v>43855</v>
      </c>
      <c r="C301" s="43" t="s">
        <v>177</v>
      </c>
      <c r="D301" s="43" t="s">
        <v>165</v>
      </c>
      <c r="E301" s="43" t="s">
        <v>166</v>
      </c>
      <c r="F301" s="43" t="s">
        <v>169</v>
      </c>
      <c r="G301" s="43">
        <v>8000</v>
      </c>
      <c r="H301" s="43">
        <v>1280</v>
      </c>
      <c r="I301" s="43">
        <f>YEAR(tbl_dashboard[[#This Row],[Fecha]])</f>
        <v>2020</v>
      </c>
      <c r="J301" s="43" t="str">
        <f>TEXT(tbl_dashboard[[#This Row],[Fecha]],"mmmm")</f>
        <v>Enero</v>
      </c>
      <c r="K301" s="43">
        <f>WEEKNUM(tbl_dashboard[[#This Row],[Fecha]],2)</f>
        <v>4</v>
      </c>
    </row>
    <row r="302" spans="2:11" x14ac:dyDescent="0.2">
      <c r="B302" s="75">
        <v>43855</v>
      </c>
      <c r="C302" s="43" t="s">
        <v>178</v>
      </c>
      <c r="D302" s="43" t="s">
        <v>168</v>
      </c>
      <c r="E302" s="43" t="s">
        <v>166</v>
      </c>
      <c r="F302" s="43" t="s">
        <v>169</v>
      </c>
      <c r="G302" s="43">
        <v>8240</v>
      </c>
      <c r="H302" s="43">
        <v>1977.6</v>
      </c>
      <c r="I302" s="43">
        <f>YEAR(tbl_dashboard[[#This Row],[Fecha]])</f>
        <v>2020</v>
      </c>
      <c r="J302" s="43" t="str">
        <f>TEXT(tbl_dashboard[[#This Row],[Fecha]],"mmmm")</f>
        <v>Enero</v>
      </c>
      <c r="K302" s="43">
        <f>WEEKNUM(tbl_dashboard[[#This Row],[Fecha]],2)</f>
        <v>4</v>
      </c>
    </row>
    <row r="303" spans="2:11" x14ac:dyDescent="0.2">
      <c r="B303" s="75">
        <v>43854</v>
      </c>
      <c r="C303" s="43" t="s">
        <v>179</v>
      </c>
      <c r="D303" s="43" t="s">
        <v>168</v>
      </c>
      <c r="E303" s="43" t="s">
        <v>166</v>
      </c>
      <c r="F303" s="43" t="s">
        <v>169</v>
      </c>
      <c r="G303" s="43">
        <v>6389</v>
      </c>
      <c r="H303" s="43">
        <v>2683.38</v>
      </c>
      <c r="I303" s="43">
        <f>YEAR(tbl_dashboard[[#This Row],[Fecha]])</f>
        <v>2020</v>
      </c>
      <c r="J303" s="43" t="str">
        <f>TEXT(tbl_dashboard[[#This Row],[Fecha]],"mmmm")</f>
        <v>Enero</v>
      </c>
      <c r="K303" s="43">
        <f>WEEKNUM(tbl_dashboard[[#This Row],[Fecha]],2)</f>
        <v>4</v>
      </c>
    </row>
    <row r="304" spans="2:11" x14ac:dyDescent="0.2">
      <c r="B304" s="75">
        <v>43860</v>
      </c>
      <c r="C304" s="43" t="s">
        <v>180</v>
      </c>
      <c r="D304" s="43" t="s">
        <v>165</v>
      </c>
      <c r="E304" s="43" t="s">
        <v>162</v>
      </c>
      <c r="F304" s="43" t="s">
        <v>163</v>
      </c>
      <c r="G304" s="43">
        <v>10115</v>
      </c>
      <c r="H304" s="43">
        <v>4551.75</v>
      </c>
      <c r="I304" s="43">
        <f>YEAR(tbl_dashboard[[#This Row],[Fecha]])</f>
        <v>2020</v>
      </c>
      <c r="J304" s="43" t="str">
        <f>TEXT(tbl_dashboard[[#This Row],[Fecha]],"mmmm")</f>
        <v>Enero</v>
      </c>
      <c r="K304" s="43">
        <f>WEEKNUM(tbl_dashboard[[#This Row],[Fecha]],2)</f>
        <v>5</v>
      </c>
    </row>
    <row r="305" spans="2:11" x14ac:dyDescent="0.2">
      <c r="B305" s="75">
        <v>43860</v>
      </c>
      <c r="C305" s="43" t="s">
        <v>181</v>
      </c>
      <c r="D305" s="43" t="s">
        <v>165</v>
      </c>
      <c r="E305" s="43" t="s">
        <v>162</v>
      </c>
      <c r="F305" s="43" t="s">
        <v>163</v>
      </c>
      <c r="G305" s="43">
        <v>8394</v>
      </c>
      <c r="H305" s="43">
        <v>1426.98</v>
      </c>
      <c r="I305" s="43">
        <f>YEAR(tbl_dashboard[[#This Row],[Fecha]])</f>
        <v>2020</v>
      </c>
      <c r="J305" s="43" t="str">
        <f>TEXT(tbl_dashboard[[#This Row],[Fecha]],"mmmm")</f>
        <v>Enero</v>
      </c>
      <c r="K305" s="43">
        <f>WEEKNUM(tbl_dashboard[[#This Row],[Fecha]],2)</f>
        <v>5</v>
      </c>
    </row>
    <row r="306" spans="2:11" x14ac:dyDescent="0.2">
      <c r="B306" s="75">
        <v>43860</v>
      </c>
      <c r="C306" s="43" t="s">
        <v>182</v>
      </c>
      <c r="D306" s="43" t="s">
        <v>165</v>
      </c>
      <c r="E306" s="43" t="s">
        <v>166</v>
      </c>
      <c r="F306" s="43" t="s">
        <v>169</v>
      </c>
      <c r="G306" s="43">
        <v>8462</v>
      </c>
      <c r="H306" s="43">
        <v>1946.26</v>
      </c>
      <c r="I306" s="43">
        <f>YEAR(tbl_dashboard[[#This Row],[Fecha]])</f>
        <v>2020</v>
      </c>
      <c r="J306" s="43" t="str">
        <f>TEXT(tbl_dashboard[[#This Row],[Fecha]],"mmmm")</f>
        <v>Enero</v>
      </c>
      <c r="K306" s="43">
        <f>WEEKNUM(tbl_dashboard[[#This Row],[Fecha]],2)</f>
        <v>5</v>
      </c>
    </row>
    <row r="307" spans="2:11" x14ac:dyDescent="0.2">
      <c r="B307" s="75">
        <v>43860</v>
      </c>
      <c r="C307" s="43" t="s">
        <v>183</v>
      </c>
      <c r="D307" s="43" t="s">
        <v>161</v>
      </c>
      <c r="E307" s="43" t="s">
        <v>162</v>
      </c>
      <c r="F307" s="43" t="s">
        <v>169</v>
      </c>
      <c r="G307" s="43">
        <v>10232</v>
      </c>
      <c r="H307" s="43">
        <v>1841.76</v>
      </c>
      <c r="I307" s="43">
        <f>YEAR(tbl_dashboard[[#This Row],[Fecha]])</f>
        <v>2020</v>
      </c>
      <c r="J307" s="43" t="str">
        <f>TEXT(tbl_dashboard[[#This Row],[Fecha]],"mmmm")</f>
        <v>Enero</v>
      </c>
      <c r="K307" s="43">
        <f>WEEKNUM(tbl_dashboard[[#This Row],[Fecha]],2)</f>
        <v>5</v>
      </c>
    </row>
    <row r="308" spans="2:11" x14ac:dyDescent="0.2">
      <c r="B308" s="75">
        <v>43860</v>
      </c>
      <c r="C308" s="43" t="s">
        <v>184</v>
      </c>
      <c r="D308" s="43" t="s">
        <v>165</v>
      </c>
      <c r="E308" s="43" t="s">
        <v>166</v>
      </c>
      <c r="F308" s="43" t="s">
        <v>163</v>
      </c>
      <c r="G308" s="43">
        <v>8316</v>
      </c>
      <c r="H308" s="43">
        <v>2993.76</v>
      </c>
      <c r="I308" s="43">
        <f>YEAR(tbl_dashboard[[#This Row],[Fecha]])</f>
        <v>2020</v>
      </c>
      <c r="J308" s="43" t="str">
        <f>TEXT(tbl_dashboard[[#This Row],[Fecha]],"mmmm")</f>
        <v>Enero</v>
      </c>
      <c r="K308" s="43">
        <f>WEEKNUM(tbl_dashboard[[#This Row],[Fecha]],2)</f>
        <v>5</v>
      </c>
    </row>
    <row r="309" spans="2:11" x14ac:dyDescent="0.2">
      <c r="B309" s="75">
        <v>43860</v>
      </c>
      <c r="C309" s="43" t="s">
        <v>185</v>
      </c>
      <c r="D309" s="43" t="s">
        <v>165</v>
      </c>
      <c r="E309" s="43" t="s">
        <v>162</v>
      </c>
      <c r="F309" s="43" t="s">
        <v>163</v>
      </c>
      <c r="G309" s="43">
        <v>5907</v>
      </c>
      <c r="H309" s="43">
        <v>1890.24</v>
      </c>
      <c r="I309" s="43">
        <f>YEAR(tbl_dashboard[[#This Row],[Fecha]])</f>
        <v>2020</v>
      </c>
      <c r="J309" s="43" t="str">
        <f>TEXT(tbl_dashboard[[#This Row],[Fecha]],"mmmm")</f>
        <v>Enero</v>
      </c>
      <c r="K309" s="43">
        <f>WEEKNUM(tbl_dashboard[[#This Row],[Fecha]],2)</f>
        <v>5</v>
      </c>
    </row>
    <row r="310" spans="2:11" x14ac:dyDescent="0.2">
      <c r="B310" s="75">
        <v>43860</v>
      </c>
      <c r="C310" s="43" t="s">
        <v>186</v>
      </c>
      <c r="D310" s="43" t="s">
        <v>168</v>
      </c>
      <c r="E310" s="43" t="s">
        <v>162</v>
      </c>
      <c r="F310" s="43" t="s">
        <v>169</v>
      </c>
      <c r="G310" s="43">
        <v>2050</v>
      </c>
      <c r="H310" s="43">
        <v>512.5</v>
      </c>
      <c r="I310" s="43">
        <f>YEAR(tbl_dashboard[[#This Row],[Fecha]])</f>
        <v>2020</v>
      </c>
      <c r="J310" s="43" t="str">
        <f>TEXT(tbl_dashboard[[#This Row],[Fecha]],"mmmm")</f>
        <v>Enero</v>
      </c>
      <c r="K310" s="43">
        <f>WEEKNUM(tbl_dashboard[[#This Row],[Fecha]],2)</f>
        <v>5</v>
      </c>
    </row>
    <row r="311" spans="2:11" x14ac:dyDescent="0.2">
      <c r="B311" s="75">
        <v>43856</v>
      </c>
      <c r="C311" s="43" t="s">
        <v>187</v>
      </c>
      <c r="D311" s="43" t="s">
        <v>165</v>
      </c>
      <c r="E311" s="43" t="s">
        <v>166</v>
      </c>
      <c r="F311" s="43" t="s">
        <v>163</v>
      </c>
      <c r="G311" s="43">
        <v>2597</v>
      </c>
      <c r="H311" s="43">
        <v>415.52</v>
      </c>
      <c r="I311" s="43">
        <f>YEAR(tbl_dashboard[[#This Row],[Fecha]])</f>
        <v>2020</v>
      </c>
      <c r="J311" s="43" t="str">
        <f>TEXT(tbl_dashboard[[#This Row],[Fecha]],"mmmm")</f>
        <v>Enero</v>
      </c>
      <c r="K311" s="43">
        <f>WEEKNUM(tbl_dashboard[[#This Row],[Fecha]],2)</f>
        <v>4</v>
      </c>
    </row>
    <row r="312" spans="2:11" x14ac:dyDescent="0.2">
      <c r="B312" s="75">
        <v>43855</v>
      </c>
      <c r="C312" s="43" t="s">
        <v>188</v>
      </c>
      <c r="D312" s="43" t="s">
        <v>161</v>
      </c>
      <c r="E312" s="43" t="s">
        <v>162</v>
      </c>
      <c r="F312" s="43" t="s">
        <v>169</v>
      </c>
      <c r="G312" s="43">
        <v>1054</v>
      </c>
      <c r="H312" s="43">
        <v>231.88</v>
      </c>
      <c r="I312" s="43">
        <f>YEAR(tbl_dashboard[[#This Row],[Fecha]])</f>
        <v>2020</v>
      </c>
      <c r="J312" s="43" t="str">
        <f>TEXT(tbl_dashboard[[#This Row],[Fecha]],"mmmm")</f>
        <v>Enero</v>
      </c>
      <c r="K312" s="43">
        <f>WEEKNUM(tbl_dashboard[[#This Row],[Fecha]],2)</f>
        <v>4</v>
      </c>
    </row>
    <row r="313" spans="2:11" x14ac:dyDescent="0.2">
      <c r="B313" s="75">
        <v>43855</v>
      </c>
      <c r="C313" s="43" t="s">
        <v>189</v>
      </c>
      <c r="D313" s="43" t="s">
        <v>161</v>
      </c>
      <c r="E313" s="43" t="s">
        <v>162</v>
      </c>
      <c r="F313" s="43" t="s">
        <v>169</v>
      </c>
      <c r="G313" s="43">
        <v>8805</v>
      </c>
      <c r="H313" s="43">
        <v>2729.55</v>
      </c>
      <c r="I313" s="43">
        <f>YEAR(tbl_dashboard[[#This Row],[Fecha]])</f>
        <v>2020</v>
      </c>
      <c r="J313" s="43" t="str">
        <f>TEXT(tbl_dashboard[[#This Row],[Fecha]],"mmmm")</f>
        <v>Enero</v>
      </c>
      <c r="K313" s="43">
        <f>WEEKNUM(tbl_dashboard[[#This Row],[Fecha]],2)</f>
        <v>4</v>
      </c>
    </row>
    <row r="314" spans="2:11" x14ac:dyDescent="0.2">
      <c r="B314" s="75">
        <v>43855</v>
      </c>
      <c r="C314" s="43" t="s">
        <v>190</v>
      </c>
      <c r="D314" s="43" t="s">
        <v>161</v>
      </c>
      <c r="E314" s="43" t="s">
        <v>166</v>
      </c>
      <c r="F314" s="43" t="s">
        <v>169</v>
      </c>
      <c r="G314" s="43">
        <v>2430</v>
      </c>
      <c r="H314" s="43">
        <v>680.4</v>
      </c>
      <c r="I314" s="43">
        <f>YEAR(tbl_dashboard[[#This Row],[Fecha]])</f>
        <v>2020</v>
      </c>
      <c r="J314" s="43" t="str">
        <f>TEXT(tbl_dashboard[[#This Row],[Fecha]],"mmmm")</f>
        <v>Enero</v>
      </c>
      <c r="K314" s="43">
        <f>WEEKNUM(tbl_dashboard[[#This Row],[Fecha]],2)</f>
        <v>4</v>
      </c>
    </row>
    <row r="315" spans="2:11" x14ac:dyDescent="0.2">
      <c r="B315" s="75">
        <v>43855</v>
      </c>
      <c r="C315" s="43" t="s">
        <v>191</v>
      </c>
      <c r="D315" s="43" t="s">
        <v>168</v>
      </c>
      <c r="E315" s="43" t="s">
        <v>162</v>
      </c>
      <c r="F315" s="43" t="s">
        <v>169</v>
      </c>
      <c r="G315" s="43">
        <v>11945</v>
      </c>
      <c r="H315" s="43">
        <v>2508.4499999999998</v>
      </c>
      <c r="I315" s="43">
        <f>YEAR(tbl_dashboard[[#This Row],[Fecha]])</f>
        <v>2020</v>
      </c>
      <c r="J315" s="43" t="str">
        <f>TEXT(tbl_dashboard[[#This Row],[Fecha]],"mmmm")</f>
        <v>Enero</v>
      </c>
      <c r="K315" s="43">
        <f>WEEKNUM(tbl_dashboard[[#This Row],[Fecha]],2)</f>
        <v>4</v>
      </c>
    </row>
    <row r="316" spans="2:11" x14ac:dyDescent="0.2">
      <c r="B316" s="75">
        <v>43854</v>
      </c>
      <c r="C316" s="43" t="s">
        <v>192</v>
      </c>
      <c r="D316" s="43" t="s">
        <v>161</v>
      </c>
      <c r="E316" s="43" t="s">
        <v>162</v>
      </c>
      <c r="F316" s="43" t="s">
        <v>169</v>
      </c>
      <c r="G316" s="43">
        <v>1493</v>
      </c>
      <c r="H316" s="43">
        <v>253.81</v>
      </c>
      <c r="I316" s="43">
        <f>YEAR(tbl_dashboard[[#This Row],[Fecha]])</f>
        <v>2020</v>
      </c>
      <c r="J316" s="43" t="str">
        <f>TEXT(tbl_dashboard[[#This Row],[Fecha]],"mmmm")</f>
        <v>Enero</v>
      </c>
      <c r="K316" s="43">
        <f>WEEKNUM(tbl_dashboard[[#This Row],[Fecha]],2)</f>
        <v>4</v>
      </c>
    </row>
    <row r="317" spans="2:11" x14ac:dyDescent="0.2">
      <c r="B317" s="75">
        <v>43861</v>
      </c>
      <c r="C317" s="43" t="s">
        <v>193</v>
      </c>
      <c r="D317" s="43" t="s">
        <v>161</v>
      </c>
      <c r="E317" s="43" t="s">
        <v>162</v>
      </c>
      <c r="F317" s="43" t="s">
        <v>163</v>
      </c>
      <c r="G317" s="43">
        <v>8392</v>
      </c>
      <c r="H317" s="43">
        <v>3692.48</v>
      </c>
      <c r="I317" s="43">
        <f>YEAR(tbl_dashboard[[#This Row],[Fecha]])</f>
        <v>2020</v>
      </c>
      <c r="J317" s="43" t="str">
        <f>TEXT(tbl_dashboard[[#This Row],[Fecha]],"mmmm")</f>
        <v>Enero</v>
      </c>
      <c r="K317" s="43">
        <f>WEEKNUM(tbl_dashboard[[#This Row],[Fecha]],2)</f>
        <v>5</v>
      </c>
    </row>
    <row r="318" spans="2:11" x14ac:dyDescent="0.2">
      <c r="B318" s="75">
        <v>43861</v>
      </c>
      <c r="C318" s="43" t="s">
        <v>194</v>
      </c>
      <c r="D318" s="43" t="s">
        <v>161</v>
      </c>
      <c r="E318" s="43" t="s">
        <v>162</v>
      </c>
      <c r="F318" s="43" t="s">
        <v>163</v>
      </c>
      <c r="G318" s="43">
        <v>5891</v>
      </c>
      <c r="H318" s="43">
        <v>2120.7600000000002</v>
      </c>
      <c r="I318" s="43">
        <f>YEAR(tbl_dashboard[[#This Row],[Fecha]])</f>
        <v>2020</v>
      </c>
      <c r="J318" s="43" t="str">
        <f>TEXT(tbl_dashboard[[#This Row],[Fecha]],"mmmm")</f>
        <v>Enero</v>
      </c>
      <c r="K318" s="43">
        <f>WEEKNUM(tbl_dashboard[[#This Row],[Fecha]],2)</f>
        <v>5</v>
      </c>
    </row>
    <row r="319" spans="2:11" x14ac:dyDescent="0.2">
      <c r="B319" s="75">
        <v>43861</v>
      </c>
      <c r="C319" s="43" t="s">
        <v>195</v>
      </c>
      <c r="D319" s="43" t="s">
        <v>161</v>
      </c>
      <c r="E319" s="43" t="s">
        <v>162</v>
      </c>
      <c r="F319" s="43" t="s">
        <v>169</v>
      </c>
      <c r="G319" s="43">
        <v>2381</v>
      </c>
      <c r="H319" s="43">
        <v>476.2</v>
      </c>
      <c r="I319" s="43">
        <f>YEAR(tbl_dashboard[[#This Row],[Fecha]])</f>
        <v>2020</v>
      </c>
      <c r="J319" s="43" t="str">
        <f>TEXT(tbl_dashboard[[#This Row],[Fecha]],"mmmm")</f>
        <v>Enero</v>
      </c>
      <c r="K319" s="43">
        <f>WEEKNUM(tbl_dashboard[[#This Row],[Fecha]],2)</f>
        <v>5</v>
      </c>
    </row>
    <row r="320" spans="2:11" x14ac:dyDescent="0.2">
      <c r="B320" s="75">
        <v>43861</v>
      </c>
      <c r="C320" s="43" t="s">
        <v>196</v>
      </c>
      <c r="D320" s="43" t="s">
        <v>168</v>
      </c>
      <c r="E320" s="43" t="s">
        <v>162</v>
      </c>
      <c r="F320" s="43" t="s">
        <v>169</v>
      </c>
      <c r="G320" s="43">
        <v>1989</v>
      </c>
      <c r="H320" s="43">
        <v>616.59</v>
      </c>
      <c r="I320" s="43">
        <f>YEAR(tbl_dashboard[[#This Row],[Fecha]])</f>
        <v>2020</v>
      </c>
      <c r="J320" s="43" t="str">
        <f>TEXT(tbl_dashboard[[#This Row],[Fecha]],"mmmm")</f>
        <v>Enero</v>
      </c>
      <c r="K320" s="43">
        <f>WEEKNUM(tbl_dashboard[[#This Row],[Fecha]],2)</f>
        <v>5</v>
      </c>
    </row>
    <row r="321" spans="2:11" x14ac:dyDescent="0.2">
      <c r="B321" s="75">
        <v>43861</v>
      </c>
      <c r="C321" s="43" t="s">
        <v>197</v>
      </c>
      <c r="D321" s="43" t="s">
        <v>168</v>
      </c>
      <c r="E321" s="43" t="s">
        <v>166</v>
      </c>
      <c r="F321" s="43" t="s">
        <v>163</v>
      </c>
      <c r="G321" s="43">
        <v>10160</v>
      </c>
      <c r="H321" s="43">
        <v>2540</v>
      </c>
      <c r="I321" s="43">
        <f>YEAR(tbl_dashboard[[#This Row],[Fecha]])</f>
        <v>2020</v>
      </c>
      <c r="J321" s="43" t="str">
        <f>TEXT(tbl_dashboard[[#This Row],[Fecha]],"mmmm")</f>
        <v>Enero</v>
      </c>
      <c r="K321" s="43">
        <f>WEEKNUM(tbl_dashboard[[#This Row],[Fecha]],2)</f>
        <v>5</v>
      </c>
    </row>
    <row r="322" spans="2:11" x14ac:dyDescent="0.2">
      <c r="B322" s="75">
        <v>43861</v>
      </c>
      <c r="C322" s="43" t="s">
        <v>198</v>
      </c>
      <c r="D322" s="43" t="s">
        <v>168</v>
      </c>
      <c r="E322" s="43" t="s">
        <v>166</v>
      </c>
      <c r="F322" s="43" t="s">
        <v>163</v>
      </c>
      <c r="G322" s="43">
        <v>11431</v>
      </c>
      <c r="H322" s="43">
        <v>2400.5100000000002</v>
      </c>
      <c r="I322" s="43">
        <f>YEAR(tbl_dashboard[[#This Row],[Fecha]])</f>
        <v>2020</v>
      </c>
      <c r="J322" s="43" t="str">
        <f>TEXT(tbl_dashboard[[#This Row],[Fecha]],"mmmm")</f>
        <v>Enero</v>
      </c>
      <c r="K322" s="43">
        <f>WEEKNUM(tbl_dashboard[[#This Row],[Fecha]],2)</f>
        <v>5</v>
      </c>
    </row>
    <row r="323" spans="2:11" x14ac:dyDescent="0.2">
      <c r="B323" s="75">
        <v>43860</v>
      </c>
      <c r="C323" s="43" t="s">
        <v>199</v>
      </c>
      <c r="D323" s="43" t="s">
        <v>165</v>
      </c>
      <c r="E323" s="43" t="s">
        <v>166</v>
      </c>
      <c r="F323" s="43" t="s">
        <v>169</v>
      </c>
      <c r="G323" s="43">
        <v>2879</v>
      </c>
      <c r="H323" s="43">
        <v>950.07</v>
      </c>
      <c r="I323" s="43">
        <f>YEAR(tbl_dashboard[[#This Row],[Fecha]])</f>
        <v>2020</v>
      </c>
      <c r="J323" s="43" t="str">
        <f>TEXT(tbl_dashboard[[#This Row],[Fecha]],"mmmm")</f>
        <v>Enero</v>
      </c>
      <c r="K323" s="43">
        <f>WEEKNUM(tbl_dashboard[[#This Row],[Fecha]],2)</f>
        <v>5</v>
      </c>
    </row>
    <row r="324" spans="2:11" x14ac:dyDescent="0.2">
      <c r="B324" s="75">
        <v>43856</v>
      </c>
      <c r="C324" s="43" t="s">
        <v>200</v>
      </c>
      <c r="D324" s="43" t="s">
        <v>168</v>
      </c>
      <c r="E324" s="43" t="s">
        <v>162</v>
      </c>
      <c r="F324" s="43" t="s">
        <v>163</v>
      </c>
      <c r="G324" s="43">
        <v>7116</v>
      </c>
      <c r="H324" s="43">
        <v>1636.68</v>
      </c>
      <c r="I324" s="43">
        <f>YEAR(tbl_dashboard[[#This Row],[Fecha]])</f>
        <v>2020</v>
      </c>
      <c r="J324" s="43" t="str">
        <f>TEXT(tbl_dashboard[[#This Row],[Fecha]],"mmmm")</f>
        <v>Enero</v>
      </c>
      <c r="K324" s="43">
        <f>WEEKNUM(tbl_dashboard[[#This Row],[Fecha]],2)</f>
        <v>4</v>
      </c>
    </row>
    <row r="325" spans="2:11" x14ac:dyDescent="0.2">
      <c r="B325" s="75">
        <v>43855</v>
      </c>
      <c r="C325" s="43" t="s">
        <v>201</v>
      </c>
      <c r="D325" s="43" t="s">
        <v>161</v>
      </c>
      <c r="E325" s="43" t="s">
        <v>162</v>
      </c>
      <c r="F325" s="43" t="s">
        <v>169</v>
      </c>
      <c r="G325" s="43">
        <v>7499</v>
      </c>
      <c r="H325" s="43">
        <v>1874.75</v>
      </c>
      <c r="I325" s="43">
        <f>YEAR(tbl_dashboard[[#This Row],[Fecha]])</f>
        <v>2020</v>
      </c>
      <c r="J325" s="43" t="str">
        <f>TEXT(tbl_dashboard[[#This Row],[Fecha]],"mmmm")</f>
        <v>Enero</v>
      </c>
      <c r="K325" s="43">
        <f>WEEKNUM(tbl_dashboard[[#This Row],[Fecha]],2)</f>
        <v>4</v>
      </c>
    </row>
    <row r="326" spans="2:11" x14ac:dyDescent="0.2">
      <c r="B326" s="75">
        <v>43855</v>
      </c>
      <c r="C326" s="43" t="s">
        <v>202</v>
      </c>
      <c r="D326" s="43" t="s">
        <v>168</v>
      </c>
      <c r="E326" s="43" t="s">
        <v>162</v>
      </c>
      <c r="F326" s="43" t="s">
        <v>169</v>
      </c>
      <c r="G326" s="43">
        <v>3043</v>
      </c>
      <c r="H326" s="43">
        <v>1217.2</v>
      </c>
      <c r="I326" s="43">
        <f>YEAR(tbl_dashboard[[#This Row],[Fecha]])</f>
        <v>2020</v>
      </c>
      <c r="J326" s="43" t="str">
        <f>TEXT(tbl_dashboard[[#This Row],[Fecha]],"mmmm")</f>
        <v>Enero</v>
      </c>
      <c r="K326" s="43">
        <f>WEEKNUM(tbl_dashboard[[#This Row],[Fecha]],2)</f>
        <v>4</v>
      </c>
    </row>
    <row r="327" spans="2:11" x14ac:dyDescent="0.2">
      <c r="B327" s="75">
        <v>43855</v>
      </c>
      <c r="C327" s="43" t="s">
        <v>203</v>
      </c>
      <c r="D327" s="43" t="s">
        <v>161</v>
      </c>
      <c r="E327" s="43" t="s">
        <v>166</v>
      </c>
      <c r="F327" s="43" t="s">
        <v>169</v>
      </c>
      <c r="G327" s="43">
        <v>6723</v>
      </c>
      <c r="H327" s="43">
        <v>2084.13</v>
      </c>
      <c r="I327" s="43">
        <f>YEAR(tbl_dashboard[[#This Row],[Fecha]])</f>
        <v>2020</v>
      </c>
      <c r="J327" s="43" t="str">
        <f>TEXT(tbl_dashboard[[#This Row],[Fecha]],"mmmm")</f>
        <v>Enero</v>
      </c>
      <c r="K327" s="43">
        <f>WEEKNUM(tbl_dashboard[[#This Row],[Fecha]],2)</f>
        <v>4</v>
      </c>
    </row>
    <row r="328" spans="2:11" x14ac:dyDescent="0.2">
      <c r="B328" s="75">
        <v>43855</v>
      </c>
      <c r="C328" s="43" t="s">
        <v>204</v>
      </c>
      <c r="D328" s="43" t="s">
        <v>161</v>
      </c>
      <c r="E328" s="43" t="s">
        <v>166</v>
      </c>
      <c r="F328" s="43" t="s">
        <v>169</v>
      </c>
      <c r="G328" s="43">
        <v>5137</v>
      </c>
      <c r="H328" s="43">
        <v>2311.65</v>
      </c>
      <c r="I328" s="43">
        <f>YEAR(tbl_dashboard[[#This Row],[Fecha]])</f>
        <v>2020</v>
      </c>
      <c r="J328" s="43" t="str">
        <f>TEXT(tbl_dashboard[[#This Row],[Fecha]],"mmmm")</f>
        <v>Enero</v>
      </c>
      <c r="K328" s="43">
        <f>WEEKNUM(tbl_dashboard[[#This Row],[Fecha]],2)</f>
        <v>4</v>
      </c>
    </row>
    <row r="329" spans="2:11" x14ac:dyDescent="0.2">
      <c r="B329" s="75">
        <v>43854</v>
      </c>
      <c r="C329" s="43" t="s">
        <v>205</v>
      </c>
      <c r="D329" s="43" t="s">
        <v>168</v>
      </c>
      <c r="E329" s="43" t="s">
        <v>166</v>
      </c>
      <c r="F329" s="43" t="s">
        <v>169</v>
      </c>
      <c r="G329" s="43">
        <v>9293</v>
      </c>
      <c r="H329" s="43">
        <v>2416.1799999999998</v>
      </c>
      <c r="I329" s="43">
        <f>YEAR(tbl_dashboard[[#This Row],[Fecha]])</f>
        <v>2020</v>
      </c>
      <c r="J329" s="43" t="str">
        <f>TEXT(tbl_dashboard[[#This Row],[Fecha]],"mmmm")</f>
        <v>Enero</v>
      </c>
      <c r="K329" s="43">
        <f>WEEKNUM(tbl_dashboard[[#This Row],[Fecha]],2)</f>
        <v>4</v>
      </c>
    </row>
    <row r="330" spans="2:11" x14ac:dyDescent="0.2">
      <c r="B330" s="75">
        <v>43860</v>
      </c>
      <c r="C330" s="43" t="s">
        <v>206</v>
      </c>
      <c r="D330" s="43" t="s">
        <v>161</v>
      </c>
      <c r="E330" s="43" t="s">
        <v>166</v>
      </c>
      <c r="F330" s="43" t="s">
        <v>163</v>
      </c>
      <c r="G330" s="43">
        <v>3028</v>
      </c>
      <c r="H330" s="43">
        <v>1362.6</v>
      </c>
      <c r="I330" s="43">
        <f>YEAR(tbl_dashboard[[#This Row],[Fecha]])</f>
        <v>2020</v>
      </c>
      <c r="J330" s="43" t="str">
        <f>TEXT(tbl_dashboard[[#This Row],[Fecha]],"mmmm")</f>
        <v>Enero</v>
      </c>
      <c r="K330" s="43">
        <f>WEEKNUM(tbl_dashboard[[#This Row],[Fecha]],2)</f>
        <v>5</v>
      </c>
    </row>
    <row r="331" spans="2:11" x14ac:dyDescent="0.2">
      <c r="B331" s="75">
        <v>43860</v>
      </c>
      <c r="C331" s="43" t="s">
        <v>207</v>
      </c>
      <c r="D331" s="43" t="s">
        <v>168</v>
      </c>
      <c r="E331" s="43" t="s">
        <v>166</v>
      </c>
      <c r="F331" s="43" t="s">
        <v>163</v>
      </c>
      <c r="G331" s="43">
        <v>6589</v>
      </c>
      <c r="H331" s="43">
        <v>2635.6</v>
      </c>
      <c r="I331" s="43">
        <f>YEAR(tbl_dashboard[[#This Row],[Fecha]])</f>
        <v>2020</v>
      </c>
      <c r="J331" s="43" t="str">
        <f>TEXT(tbl_dashboard[[#This Row],[Fecha]],"mmmm")</f>
        <v>Enero</v>
      </c>
      <c r="K331" s="43">
        <f>WEEKNUM(tbl_dashboard[[#This Row],[Fecha]],2)</f>
        <v>5</v>
      </c>
    </row>
    <row r="332" spans="2:11" x14ac:dyDescent="0.2">
      <c r="B332" s="75">
        <v>43860</v>
      </c>
      <c r="C332" s="43" t="s">
        <v>208</v>
      </c>
      <c r="D332" s="43" t="s">
        <v>168</v>
      </c>
      <c r="E332" s="43" t="s">
        <v>166</v>
      </c>
      <c r="F332" s="43" t="s">
        <v>169</v>
      </c>
      <c r="G332" s="43">
        <v>6863</v>
      </c>
      <c r="H332" s="43">
        <v>1441.23</v>
      </c>
      <c r="I332" s="43">
        <f>YEAR(tbl_dashboard[[#This Row],[Fecha]])</f>
        <v>2020</v>
      </c>
      <c r="J332" s="43" t="str">
        <f>TEXT(tbl_dashboard[[#This Row],[Fecha]],"mmmm")</f>
        <v>Enero</v>
      </c>
      <c r="K332" s="43">
        <f>WEEKNUM(tbl_dashboard[[#This Row],[Fecha]],2)</f>
        <v>5</v>
      </c>
    </row>
    <row r="333" spans="2:11" x14ac:dyDescent="0.2">
      <c r="B333" s="75">
        <v>43860</v>
      </c>
      <c r="C333" s="43" t="s">
        <v>209</v>
      </c>
      <c r="D333" s="43" t="s">
        <v>168</v>
      </c>
      <c r="E333" s="43" t="s">
        <v>162</v>
      </c>
      <c r="F333" s="43" t="s">
        <v>169</v>
      </c>
      <c r="G333" s="43">
        <v>1779</v>
      </c>
      <c r="H333" s="43">
        <v>498.12</v>
      </c>
      <c r="I333" s="43">
        <f>YEAR(tbl_dashboard[[#This Row],[Fecha]])</f>
        <v>2020</v>
      </c>
      <c r="J333" s="43" t="str">
        <f>TEXT(tbl_dashboard[[#This Row],[Fecha]],"mmmm")</f>
        <v>Enero</v>
      </c>
      <c r="K333" s="43">
        <f>WEEKNUM(tbl_dashboard[[#This Row],[Fecha]],2)</f>
        <v>5</v>
      </c>
    </row>
    <row r="334" spans="2:11" x14ac:dyDescent="0.2">
      <c r="B334" s="75">
        <v>43860</v>
      </c>
      <c r="C334" s="43" t="s">
        <v>210</v>
      </c>
      <c r="D334" s="43" t="s">
        <v>168</v>
      </c>
      <c r="E334" s="43" t="s">
        <v>166</v>
      </c>
      <c r="F334" s="43" t="s">
        <v>163</v>
      </c>
      <c r="G334" s="43">
        <v>10133</v>
      </c>
      <c r="H334" s="43">
        <v>2938.57</v>
      </c>
      <c r="I334" s="43">
        <f>YEAR(tbl_dashboard[[#This Row],[Fecha]])</f>
        <v>2020</v>
      </c>
      <c r="J334" s="43" t="str">
        <f>TEXT(tbl_dashboard[[#This Row],[Fecha]],"mmmm")</f>
        <v>Enero</v>
      </c>
      <c r="K334" s="43">
        <f>WEEKNUM(tbl_dashboard[[#This Row],[Fecha]],2)</f>
        <v>5</v>
      </c>
    </row>
    <row r="335" spans="2:11" x14ac:dyDescent="0.2">
      <c r="B335" s="75">
        <v>43860</v>
      </c>
      <c r="C335" s="43" t="s">
        <v>211</v>
      </c>
      <c r="D335" s="43" t="s">
        <v>165</v>
      </c>
      <c r="E335" s="43" t="s">
        <v>166</v>
      </c>
      <c r="F335" s="43" t="s">
        <v>163</v>
      </c>
      <c r="G335" s="43">
        <v>11454</v>
      </c>
      <c r="H335" s="43">
        <v>4352.5200000000004</v>
      </c>
      <c r="I335" s="43">
        <f>YEAR(tbl_dashboard[[#This Row],[Fecha]])</f>
        <v>2020</v>
      </c>
      <c r="J335" s="43" t="str">
        <f>TEXT(tbl_dashboard[[#This Row],[Fecha]],"mmmm")</f>
        <v>Enero</v>
      </c>
      <c r="K335" s="43">
        <f>WEEKNUM(tbl_dashboard[[#This Row],[Fecha]],2)</f>
        <v>5</v>
      </c>
    </row>
    <row r="336" spans="2:11" x14ac:dyDescent="0.2">
      <c r="B336" s="75">
        <v>43860</v>
      </c>
      <c r="C336" s="43" t="s">
        <v>212</v>
      </c>
      <c r="D336" s="43" t="s">
        <v>168</v>
      </c>
      <c r="E336" s="43" t="s">
        <v>166</v>
      </c>
      <c r="F336" s="43" t="s">
        <v>169</v>
      </c>
      <c r="G336" s="43">
        <v>1108</v>
      </c>
      <c r="H336" s="43">
        <v>498.6</v>
      </c>
      <c r="I336" s="43">
        <f>YEAR(tbl_dashboard[[#This Row],[Fecha]])</f>
        <v>2020</v>
      </c>
      <c r="J336" s="43" t="str">
        <f>TEXT(tbl_dashboard[[#This Row],[Fecha]],"mmmm")</f>
        <v>Enero</v>
      </c>
      <c r="K336" s="43">
        <f>WEEKNUM(tbl_dashboard[[#This Row],[Fecha]],2)</f>
        <v>5</v>
      </c>
    </row>
    <row r="337" spans="2:11" x14ac:dyDescent="0.2">
      <c r="B337" s="75">
        <v>43856</v>
      </c>
      <c r="C337" s="43" t="s">
        <v>213</v>
      </c>
      <c r="D337" s="43" t="s">
        <v>161</v>
      </c>
      <c r="E337" s="43" t="s">
        <v>162</v>
      </c>
      <c r="F337" s="43" t="s">
        <v>163</v>
      </c>
      <c r="G337" s="43">
        <v>10559</v>
      </c>
      <c r="H337" s="43">
        <v>3062.11</v>
      </c>
      <c r="I337" s="43">
        <f>YEAR(tbl_dashboard[[#This Row],[Fecha]])</f>
        <v>2020</v>
      </c>
      <c r="J337" s="43" t="str">
        <f>TEXT(tbl_dashboard[[#This Row],[Fecha]],"mmmm")</f>
        <v>Enero</v>
      </c>
      <c r="K337" s="43">
        <f>WEEKNUM(tbl_dashboard[[#This Row],[Fecha]],2)</f>
        <v>4</v>
      </c>
    </row>
    <row r="338" spans="2:11" x14ac:dyDescent="0.2">
      <c r="B338" s="75">
        <v>43855</v>
      </c>
      <c r="C338" s="43" t="s">
        <v>214</v>
      </c>
      <c r="D338" s="43" t="s">
        <v>165</v>
      </c>
      <c r="E338" s="43" t="s">
        <v>166</v>
      </c>
      <c r="F338" s="43" t="s">
        <v>169</v>
      </c>
      <c r="G338" s="43">
        <v>9829</v>
      </c>
      <c r="H338" s="43">
        <v>4226.47</v>
      </c>
      <c r="I338" s="43">
        <f>YEAR(tbl_dashboard[[#This Row],[Fecha]])</f>
        <v>2020</v>
      </c>
      <c r="J338" s="43" t="str">
        <f>TEXT(tbl_dashboard[[#This Row],[Fecha]],"mmmm")</f>
        <v>Enero</v>
      </c>
      <c r="K338" s="43">
        <f>WEEKNUM(tbl_dashboard[[#This Row],[Fecha]],2)</f>
        <v>4</v>
      </c>
    </row>
    <row r="339" spans="2:11" x14ac:dyDescent="0.2">
      <c r="B339" s="75">
        <v>43855</v>
      </c>
      <c r="C339" s="43" t="s">
        <v>215</v>
      </c>
      <c r="D339" s="43" t="s">
        <v>168</v>
      </c>
      <c r="E339" s="43" t="s">
        <v>162</v>
      </c>
      <c r="F339" s="43" t="s">
        <v>169</v>
      </c>
      <c r="G339" s="43">
        <v>1221</v>
      </c>
      <c r="H339" s="43">
        <v>329.67</v>
      </c>
      <c r="I339" s="43">
        <f>YEAR(tbl_dashboard[[#This Row],[Fecha]])</f>
        <v>2020</v>
      </c>
      <c r="J339" s="43" t="str">
        <f>TEXT(tbl_dashboard[[#This Row],[Fecha]],"mmmm")</f>
        <v>Enero</v>
      </c>
      <c r="K339" s="43">
        <f>WEEKNUM(tbl_dashboard[[#This Row],[Fecha]],2)</f>
        <v>4</v>
      </c>
    </row>
    <row r="340" spans="2:11" x14ac:dyDescent="0.2">
      <c r="B340" s="75">
        <v>43855</v>
      </c>
      <c r="C340" s="43" t="s">
        <v>216</v>
      </c>
      <c r="D340" s="43" t="s">
        <v>165</v>
      </c>
      <c r="E340" s="43" t="s">
        <v>162</v>
      </c>
      <c r="F340" s="43" t="s">
        <v>169</v>
      </c>
      <c r="G340" s="43">
        <v>5577</v>
      </c>
      <c r="H340" s="43">
        <v>836.55</v>
      </c>
      <c r="I340" s="43">
        <f>YEAR(tbl_dashboard[[#This Row],[Fecha]])</f>
        <v>2020</v>
      </c>
      <c r="J340" s="43" t="str">
        <f>TEXT(tbl_dashboard[[#This Row],[Fecha]],"mmmm")</f>
        <v>Enero</v>
      </c>
      <c r="K340" s="43">
        <f>WEEKNUM(tbl_dashboard[[#This Row],[Fecha]],2)</f>
        <v>4</v>
      </c>
    </row>
    <row r="341" spans="2:11" x14ac:dyDescent="0.2">
      <c r="B341" s="75">
        <v>43855</v>
      </c>
      <c r="C341" s="43" t="s">
        <v>217</v>
      </c>
      <c r="D341" s="43" t="s">
        <v>165</v>
      </c>
      <c r="E341" s="43" t="s">
        <v>162</v>
      </c>
      <c r="F341" s="43" t="s">
        <v>169</v>
      </c>
      <c r="G341" s="43">
        <v>8886</v>
      </c>
      <c r="H341" s="43">
        <v>3820.98</v>
      </c>
      <c r="I341" s="43">
        <f>YEAR(tbl_dashboard[[#This Row],[Fecha]])</f>
        <v>2020</v>
      </c>
      <c r="J341" s="43" t="str">
        <f>TEXT(tbl_dashboard[[#This Row],[Fecha]],"mmmm")</f>
        <v>Enero</v>
      </c>
      <c r="K341" s="43">
        <f>WEEKNUM(tbl_dashboard[[#This Row],[Fecha]],2)</f>
        <v>4</v>
      </c>
    </row>
    <row r="342" spans="2:11" x14ac:dyDescent="0.2">
      <c r="B342" s="75">
        <v>43885</v>
      </c>
      <c r="C342" s="43" t="s">
        <v>160</v>
      </c>
      <c r="D342" s="43" t="s">
        <v>165</v>
      </c>
      <c r="E342" s="43" t="s">
        <v>166</v>
      </c>
      <c r="F342" s="43" t="s">
        <v>169</v>
      </c>
      <c r="G342" s="43">
        <v>7279</v>
      </c>
      <c r="H342" s="43">
        <v>1819.75</v>
      </c>
      <c r="I342" s="43">
        <f>YEAR(tbl_dashboard[[#This Row],[Fecha]])</f>
        <v>2020</v>
      </c>
      <c r="J342" s="43" t="str">
        <f>TEXT(tbl_dashboard[[#This Row],[Fecha]],"mmmm")</f>
        <v>Febrero</v>
      </c>
      <c r="K342" s="43">
        <f>WEEKNUM(tbl_dashboard[[#This Row],[Fecha]],2)</f>
        <v>9</v>
      </c>
    </row>
    <row r="343" spans="2:11" x14ac:dyDescent="0.2">
      <c r="B343" s="75">
        <v>43885</v>
      </c>
      <c r="C343" s="43" t="s">
        <v>164</v>
      </c>
      <c r="D343" s="43" t="s">
        <v>161</v>
      </c>
      <c r="E343" s="43" t="s">
        <v>166</v>
      </c>
      <c r="F343" s="43" t="s">
        <v>163</v>
      </c>
      <c r="G343" s="43">
        <v>5557</v>
      </c>
      <c r="H343" s="43">
        <v>1500.39</v>
      </c>
      <c r="I343" s="43">
        <f>YEAR(tbl_dashboard[[#This Row],[Fecha]])</f>
        <v>2020</v>
      </c>
      <c r="J343" s="43" t="str">
        <f>TEXT(tbl_dashboard[[#This Row],[Fecha]],"mmmm")</f>
        <v>Febrero</v>
      </c>
      <c r="K343" s="43">
        <f>WEEKNUM(tbl_dashboard[[#This Row],[Fecha]],2)</f>
        <v>9</v>
      </c>
    </row>
    <row r="344" spans="2:11" x14ac:dyDescent="0.2">
      <c r="B344" s="75">
        <v>43885</v>
      </c>
      <c r="C344" s="43" t="s">
        <v>167</v>
      </c>
      <c r="D344" s="43" t="s">
        <v>165</v>
      </c>
      <c r="E344" s="43" t="s">
        <v>162</v>
      </c>
      <c r="F344" s="43" t="s">
        <v>163</v>
      </c>
      <c r="G344" s="43">
        <v>8830</v>
      </c>
      <c r="H344" s="43">
        <v>1324.5</v>
      </c>
      <c r="I344" s="43">
        <f>YEAR(tbl_dashboard[[#This Row],[Fecha]])</f>
        <v>2020</v>
      </c>
      <c r="J344" s="43" t="str">
        <f>TEXT(tbl_dashboard[[#This Row],[Fecha]],"mmmm")</f>
        <v>Febrero</v>
      </c>
      <c r="K344" s="43">
        <f>WEEKNUM(tbl_dashboard[[#This Row],[Fecha]],2)</f>
        <v>9</v>
      </c>
    </row>
    <row r="345" spans="2:11" x14ac:dyDescent="0.2">
      <c r="B345" s="75">
        <v>43885</v>
      </c>
      <c r="C345" s="43" t="s">
        <v>170</v>
      </c>
      <c r="D345" s="43" t="s">
        <v>168</v>
      </c>
      <c r="E345" s="43" t="s">
        <v>166</v>
      </c>
      <c r="F345" s="43" t="s">
        <v>169</v>
      </c>
      <c r="G345" s="43">
        <v>7287</v>
      </c>
      <c r="H345" s="43">
        <v>2258.9699999999998</v>
      </c>
      <c r="I345" s="43">
        <f>YEAR(tbl_dashboard[[#This Row],[Fecha]])</f>
        <v>2020</v>
      </c>
      <c r="J345" s="43" t="str">
        <f>TEXT(tbl_dashboard[[#This Row],[Fecha]],"mmmm")</f>
        <v>Febrero</v>
      </c>
      <c r="K345" s="43">
        <f>WEEKNUM(tbl_dashboard[[#This Row],[Fecha]],2)</f>
        <v>9</v>
      </c>
    </row>
    <row r="346" spans="2:11" x14ac:dyDescent="0.2">
      <c r="B346" s="75">
        <v>43885</v>
      </c>
      <c r="C346" s="43" t="s">
        <v>171</v>
      </c>
      <c r="D346" s="43" t="s">
        <v>161</v>
      </c>
      <c r="E346" s="43" t="s">
        <v>166</v>
      </c>
      <c r="F346" s="43" t="s">
        <v>169</v>
      </c>
      <c r="G346" s="43">
        <v>10491</v>
      </c>
      <c r="H346" s="43">
        <v>4301.3100000000004</v>
      </c>
      <c r="I346" s="43">
        <f>YEAR(tbl_dashboard[[#This Row],[Fecha]])</f>
        <v>2020</v>
      </c>
      <c r="J346" s="43" t="str">
        <f>TEXT(tbl_dashboard[[#This Row],[Fecha]],"mmmm")</f>
        <v>Febrero</v>
      </c>
      <c r="K346" s="43">
        <f>WEEKNUM(tbl_dashboard[[#This Row],[Fecha]],2)</f>
        <v>9</v>
      </c>
    </row>
    <row r="347" spans="2:11" x14ac:dyDescent="0.2">
      <c r="B347" s="75">
        <v>43885</v>
      </c>
      <c r="C347" s="43" t="s">
        <v>172</v>
      </c>
      <c r="D347" s="43" t="s">
        <v>165</v>
      </c>
      <c r="E347" s="43" t="s">
        <v>166</v>
      </c>
      <c r="F347" s="43" t="s">
        <v>163</v>
      </c>
      <c r="G347" s="43">
        <v>3946</v>
      </c>
      <c r="H347" s="43">
        <v>1538.94</v>
      </c>
      <c r="I347" s="43">
        <f>YEAR(tbl_dashboard[[#This Row],[Fecha]])</f>
        <v>2020</v>
      </c>
      <c r="J347" s="43" t="str">
        <f>TEXT(tbl_dashboard[[#This Row],[Fecha]],"mmmm")</f>
        <v>Febrero</v>
      </c>
      <c r="K347" s="43">
        <f>WEEKNUM(tbl_dashboard[[#This Row],[Fecha]],2)</f>
        <v>9</v>
      </c>
    </row>
    <row r="348" spans="2:11" x14ac:dyDescent="0.2">
      <c r="B348" s="75">
        <v>43885</v>
      </c>
      <c r="C348" s="43" t="s">
        <v>173</v>
      </c>
      <c r="D348" s="43" t="s">
        <v>168</v>
      </c>
      <c r="E348" s="43" t="s">
        <v>162</v>
      </c>
      <c r="F348" s="43" t="s">
        <v>163</v>
      </c>
      <c r="G348" s="43">
        <v>6429</v>
      </c>
      <c r="H348" s="43">
        <v>1478.67</v>
      </c>
      <c r="I348" s="43">
        <f>YEAR(tbl_dashboard[[#This Row],[Fecha]])</f>
        <v>2020</v>
      </c>
      <c r="J348" s="43" t="str">
        <f>TEXT(tbl_dashboard[[#This Row],[Fecha]],"mmmm")</f>
        <v>Febrero</v>
      </c>
      <c r="K348" s="43">
        <f>WEEKNUM(tbl_dashboard[[#This Row],[Fecha]],2)</f>
        <v>9</v>
      </c>
    </row>
    <row r="349" spans="2:11" x14ac:dyDescent="0.2">
      <c r="B349" s="75">
        <v>43885</v>
      </c>
      <c r="C349" s="43" t="s">
        <v>174</v>
      </c>
      <c r="D349" s="43" t="s">
        <v>168</v>
      </c>
      <c r="E349" s="43" t="s">
        <v>162</v>
      </c>
      <c r="F349" s="43" t="s">
        <v>169</v>
      </c>
      <c r="G349" s="43">
        <v>2142</v>
      </c>
      <c r="H349" s="43">
        <v>385.56</v>
      </c>
      <c r="I349" s="43">
        <f>YEAR(tbl_dashboard[[#This Row],[Fecha]])</f>
        <v>2020</v>
      </c>
      <c r="J349" s="43" t="str">
        <f>TEXT(tbl_dashboard[[#This Row],[Fecha]],"mmmm")</f>
        <v>Febrero</v>
      </c>
      <c r="K349" s="43">
        <f>WEEKNUM(tbl_dashboard[[#This Row],[Fecha]],2)</f>
        <v>9</v>
      </c>
    </row>
    <row r="350" spans="2:11" x14ac:dyDescent="0.2">
      <c r="B350" s="75">
        <v>43885</v>
      </c>
      <c r="C350" s="43" t="s">
        <v>175</v>
      </c>
      <c r="D350" s="43" t="s">
        <v>165</v>
      </c>
      <c r="E350" s="43" t="s">
        <v>166</v>
      </c>
      <c r="F350" s="43" t="s">
        <v>163</v>
      </c>
      <c r="G350" s="43">
        <v>10611</v>
      </c>
      <c r="H350" s="43">
        <v>1909.98</v>
      </c>
      <c r="I350" s="43">
        <f>YEAR(tbl_dashboard[[#This Row],[Fecha]])</f>
        <v>2020</v>
      </c>
      <c r="J350" s="43" t="str">
        <f>TEXT(tbl_dashboard[[#This Row],[Fecha]],"mmmm")</f>
        <v>Febrero</v>
      </c>
      <c r="K350" s="43">
        <f>WEEKNUM(tbl_dashboard[[#This Row],[Fecha]],2)</f>
        <v>9</v>
      </c>
    </row>
    <row r="351" spans="2:11" x14ac:dyDescent="0.2">
      <c r="B351" s="75">
        <v>43885</v>
      </c>
      <c r="C351" s="43" t="s">
        <v>176</v>
      </c>
      <c r="D351" s="43" t="s">
        <v>165</v>
      </c>
      <c r="E351" s="43" t="s">
        <v>166</v>
      </c>
      <c r="F351" s="43" t="s">
        <v>169</v>
      </c>
      <c r="G351" s="43">
        <v>7137</v>
      </c>
      <c r="H351" s="43">
        <v>2426.58</v>
      </c>
      <c r="I351" s="43">
        <f>YEAR(tbl_dashboard[[#This Row],[Fecha]])</f>
        <v>2020</v>
      </c>
      <c r="J351" s="43" t="str">
        <f>TEXT(tbl_dashboard[[#This Row],[Fecha]],"mmmm")</f>
        <v>Febrero</v>
      </c>
      <c r="K351" s="43">
        <f>WEEKNUM(tbl_dashboard[[#This Row],[Fecha]],2)</f>
        <v>9</v>
      </c>
    </row>
    <row r="352" spans="2:11" x14ac:dyDescent="0.2">
      <c r="B352" s="75">
        <v>43885</v>
      </c>
      <c r="C352" s="43" t="s">
        <v>177</v>
      </c>
      <c r="D352" s="43" t="s">
        <v>165</v>
      </c>
      <c r="E352" s="43" t="s">
        <v>162</v>
      </c>
      <c r="F352" s="43" t="s">
        <v>169</v>
      </c>
      <c r="G352" s="43">
        <v>5961</v>
      </c>
      <c r="H352" s="43">
        <v>1132.5899999999999</v>
      </c>
      <c r="I352" s="43">
        <f>YEAR(tbl_dashboard[[#This Row],[Fecha]])</f>
        <v>2020</v>
      </c>
      <c r="J352" s="43" t="str">
        <f>TEXT(tbl_dashboard[[#This Row],[Fecha]],"mmmm")</f>
        <v>Febrero</v>
      </c>
      <c r="K352" s="43">
        <f>WEEKNUM(tbl_dashboard[[#This Row],[Fecha]],2)</f>
        <v>9</v>
      </c>
    </row>
    <row r="353" spans="2:11" x14ac:dyDescent="0.2">
      <c r="B353" s="75">
        <v>43885</v>
      </c>
      <c r="C353" s="43" t="s">
        <v>178</v>
      </c>
      <c r="D353" s="43" t="s">
        <v>161</v>
      </c>
      <c r="E353" s="43" t="s">
        <v>162</v>
      </c>
      <c r="F353" s="43" t="s">
        <v>169</v>
      </c>
      <c r="G353" s="43">
        <v>2247</v>
      </c>
      <c r="H353" s="43">
        <v>606.69000000000005</v>
      </c>
      <c r="I353" s="43">
        <f>YEAR(tbl_dashboard[[#This Row],[Fecha]])</f>
        <v>2020</v>
      </c>
      <c r="J353" s="43" t="str">
        <f>TEXT(tbl_dashboard[[#This Row],[Fecha]],"mmmm")</f>
        <v>Febrero</v>
      </c>
      <c r="K353" s="43">
        <f>WEEKNUM(tbl_dashboard[[#This Row],[Fecha]],2)</f>
        <v>9</v>
      </c>
    </row>
    <row r="354" spans="2:11" x14ac:dyDescent="0.2">
      <c r="B354" s="75">
        <v>43885</v>
      </c>
      <c r="C354" s="43" t="s">
        <v>179</v>
      </c>
      <c r="D354" s="43" t="s">
        <v>165</v>
      </c>
      <c r="E354" s="43" t="s">
        <v>162</v>
      </c>
      <c r="F354" s="43" t="s">
        <v>169</v>
      </c>
      <c r="G354" s="43">
        <v>2391</v>
      </c>
      <c r="H354" s="43">
        <v>645.57000000000005</v>
      </c>
      <c r="I354" s="43">
        <f>YEAR(tbl_dashboard[[#This Row],[Fecha]])</f>
        <v>2020</v>
      </c>
      <c r="J354" s="43" t="str">
        <f>TEXT(tbl_dashboard[[#This Row],[Fecha]],"mmmm")</f>
        <v>Febrero</v>
      </c>
      <c r="K354" s="43">
        <f>WEEKNUM(tbl_dashboard[[#This Row],[Fecha]],2)</f>
        <v>9</v>
      </c>
    </row>
    <row r="355" spans="2:11" x14ac:dyDescent="0.2">
      <c r="B355" s="75">
        <v>43885</v>
      </c>
      <c r="C355" s="43" t="s">
        <v>180</v>
      </c>
      <c r="D355" s="43" t="s">
        <v>165</v>
      </c>
      <c r="E355" s="43" t="s">
        <v>162</v>
      </c>
      <c r="F355" s="43" t="s">
        <v>169</v>
      </c>
      <c r="G355" s="43">
        <v>11406</v>
      </c>
      <c r="H355" s="43">
        <v>2509.3200000000002</v>
      </c>
      <c r="I355" s="43">
        <f>YEAR(tbl_dashboard[[#This Row],[Fecha]])</f>
        <v>2020</v>
      </c>
      <c r="J355" s="43" t="str">
        <f>TEXT(tbl_dashboard[[#This Row],[Fecha]],"mmmm")</f>
        <v>Febrero</v>
      </c>
      <c r="K355" s="43">
        <f>WEEKNUM(tbl_dashboard[[#This Row],[Fecha]],2)</f>
        <v>9</v>
      </c>
    </row>
    <row r="356" spans="2:11" x14ac:dyDescent="0.2">
      <c r="B356" s="75">
        <v>43885</v>
      </c>
      <c r="C356" s="43" t="s">
        <v>181</v>
      </c>
      <c r="D356" s="43" t="s">
        <v>168</v>
      </c>
      <c r="E356" s="43" t="s">
        <v>162</v>
      </c>
      <c r="F356" s="43" t="s">
        <v>163</v>
      </c>
      <c r="G356" s="43">
        <v>3200</v>
      </c>
      <c r="H356" s="43">
        <v>1120</v>
      </c>
      <c r="I356" s="43">
        <f>YEAR(tbl_dashboard[[#This Row],[Fecha]])</f>
        <v>2020</v>
      </c>
      <c r="J356" s="43" t="str">
        <f>TEXT(tbl_dashboard[[#This Row],[Fecha]],"mmmm")</f>
        <v>Febrero</v>
      </c>
      <c r="K356" s="43">
        <f>WEEKNUM(tbl_dashboard[[#This Row],[Fecha]],2)</f>
        <v>9</v>
      </c>
    </row>
    <row r="357" spans="2:11" x14ac:dyDescent="0.2">
      <c r="B357" s="75">
        <v>43885</v>
      </c>
      <c r="C357" s="43" t="s">
        <v>182</v>
      </c>
      <c r="D357" s="43" t="s">
        <v>165</v>
      </c>
      <c r="E357" s="43" t="s">
        <v>166</v>
      </c>
      <c r="F357" s="43" t="s">
        <v>163</v>
      </c>
      <c r="G357" s="43">
        <v>2329</v>
      </c>
      <c r="H357" s="43">
        <v>558.96</v>
      </c>
      <c r="I357" s="43">
        <f>YEAR(tbl_dashboard[[#This Row],[Fecha]])</f>
        <v>2020</v>
      </c>
      <c r="J357" s="43" t="str">
        <f>TEXT(tbl_dashboard[[#This Row],[Fecha]],"mmmm")</f>
        <v>Febrero</v>
      </c>
      <c r="K357" s="43">
        <f>WEEKNUM(tbl_dashboard[[#This Row],[Fecha]],2)</f>
        <v>9</v>
      </c>
    </row>
    <row r="358" spans="2:11" x14ac:dyDescent="0.2">
      <c r="B358" s="75">
        <v>43885</v>
      </c>
      <c r="C358" s="43" t="s">
        <v>183</v>
      </c>
      <c r="D358" s="43" t="s">
        <v>161</v>
      </c>
      <c r="E358" s="43" t="s">
        <v>162</v>
      </c>
      <c r="F358" s="43" t="s">
        <v>169</v>
      </c>
      <c r="G358" s="43">
        <v>8122</v>
      </c>
      <c r="H358" s="43">
        <v>1380.74</v>
      </c>
      <c r="I358" s="43">
        <f>YEAR(tbl_dashboard[[#This Row],[Fecha]])</f>
        <v>2020</v>
      </c>
      <c r="J358" s="43" t="str">
        <f>TEXT(tbl_dashboard[[#This Row],[Fecha]],"mmmm")</f>
        <v>Febrero</v>
      </c>
      <c r="K358" s="43">
        <f>WEEKNUM(tbl_dashboard[[#This Row],[Fecha]],2)</f>
        <v>9</v>
      </c>
    </row>
    <row r="359" spans="2:11" x14ac:dyDescent="0.2">
      <c r="B359" s="75">
        <v>43885</v>
      </c>
      <c r="C359" s="43" t="s">
        <v>184</v>
      </c>
      <c r="D359" s="43" t="s">
        <v>161</v>
      </c>
      <c r="E359" s="43" t="s">
        <v>162</v>
      </c>
      <c r="F359" s="43" t="s">
        <v>169</v>
      </c>
      <c r="G359" s="43">
        <v>1495</v>
      </c>
      <c r="H359" s="43">
        <v>239.2</v>
      </c>
      <c r="I359" s="43">
        <f>YEAR(tbl_dashboard[[#This Row],[Fecha]])</f>
        <v>2020</v>
      </c>
      <c r="J359" s="43" t="str">
        <f>TEXT(tbl_dashboard[[#This Row],[Fecha]],"mmmm")</f>
        <v>Febrero</v>
      </c>
      <c r="K359" s="43">
        <f>WEEKNUM(tbl_dashboard[[#This Row],[Fecha]],2)</f>
        <v>9</v>
      </c>
    </row>
    <row r="360" spans="2:11" x14ac:dyDescent="0.2">
      <c r="B360" s="75">
        <v>43885</v>
      </c>
      <c r="C360" s="43" t="s">
        <v>185</v>
      </c>
      <c r="D360" s="43" t="s">
        <v>161</v>
      </c>
      <c r="E360" s="43" t="s">
        <v>166</v>
      </c>
      <c r="F360" s="43" t="s">
        <v>163</v>
      </c>
      <c r="G360" s="43">
        <v>6254</v>
      </c>
      <c r="H360" s="43">
        <v>1000.64</v>
      </c>
      <c r="I360" s="43">
        <f>YEAR(tbl_dashboard[[#This Row],[Fecha]])</f>
        <v>2020</v>
      </c>
      <c r="J360" s="43" t="str">
        <f>TEXT(tbl_dashboard[[#This Row],[Fecha]],"mmmm")</f>
        <v>Febrero</v>
      </c>
      <c r="K360" s="43">
        <f>WEEKNUM(tbl_dashboard[[#This Row],[Fecha]],2)</f>
        <v>9</v>
      </c>
    </row>
    <row r="361" spans="2:11" x14ac:dyDescent="0.2">
      <c r="B361" s="75">
        <v>43885</v>
      </c>
      <c r="C361" s="43" t="s">
        <v>186</v>
      </c>
      <c r="D361" s="43" t="s">
        <v>168</v>
      </c>
      <c r="E361" s="43" t="s">
        <v>162</v>
      </c>
      <c r="F361" s="43" t="s">
        <v>163</v>
      </c>
      <c r="G361" s="43">
        <v>5496</v>
      </c>
      <c r="H361" s="43">
        <v>1593.84</v>
      </c>
      <c r="I361" s="43">
        <f>YEAR(tbl_dashboard[[#This Row],[Fecha]])</f>
        <v>2020</v>
      </c>
      <c r="J361" s="43" t="str">
        <f>TEXT(tbl_dashboard[[#This Row],[Fecha]],"mmmm")</f>
        <v>Febrero</v>
      </c>
      <c r="K361" s="43">
        <f>WEEKNUM(tbl_dashboard[[#This Row],[Fecha]],2)</f>
        <v>9</v>
      </c>
    </row>
    <row r="362" spans="2:11" x14ac:dyDescent="0.2">
      <c r="B362" s="75">
        <v>43885</v>
      </c>
      <c r="C362" s="43" t="s">
        <v>187</v>
      </c>
      <c r="D362" s="43" t="s">
        <v>161</v>
      </c>
      <c r="E362" s="43" t="s">
        <v>166</v>
      </c>
      <c r="F362" s="43" t="s">
        <v>169</v>
      </c>
      <c r="G362" s="43">
        <v>1644</v>
      </c>
      <c r="H362" s="43">
        <v>246.6</v>
      </c>
      <c r="I362" s="43">
        <f>YEAR(tbl_dashboard[[#This Row],[Fecha]])</f>
        <v>2020</v>
      </c>
      <c r="J362" s="43" t="str">
        <f>TEXT(tbl_dashboard[[#This Row],[Fecha]],"mmmm")</f>
        <v>Febrero</v>
      </c>
      <c r="K362" s="43">
        <f>WEEKNUM(tbl_dashboard[[#This Row],[Fecha]],2)</f>
        <v>9</v>
      </c>
    </row>
    <row r="363" spans="2:11" x14ac:dyDescent="0.2">
      <c r="B363" s="75">
        <v>43885</v>
      </c>
      <c r="C363" s="43" t="s">
        <v>188</v>
      </c>
      <c r="D363" s="43" t="s">
        <v>161</v>
      </c>
      <c r="E363" s="43" t="s">
        <v>162</v>
      </c>
      <c r="F363" s="43" t="s">
        <v>163</v>
      </c>
      <c r="G363" s="43">
        <v>11189</v>
      </c>
      <c r="H363" s="43">
        <v>2461.58</v>
      </c>
      <c r="I363" s="43">
        <f>YEAR(tbl_dashboard[[#This Row],[Fecha]])</f>
        <v>2020</v>
      </c>
      <c r="J363" s="43" t="str">
        <f>TEXT(tbl_dashboard[[#This Row],[Fecha]],"mmmm")</f>
        <v>Febrero</v>
      </c>
      <c r="K363" s="43">
        <f>WEEKNUM(tbl_dashboard[[#This Row],[Fecha]],2)</f>
        <v>9</v>
      </c>
    </row>
    <row r="364" spans="2:11" x14ac:dyDescent="0.2">
      <c r="B364" s="75">
        <v>43885</v>
      </c>
      <c r="C364" s="43" t="s">
        <v>189</v>
      </c>
      <c r="D364" s="43" t="s">
        <v>168</v>
      </c>
      <c r="E364" s="43" t="s">
        <v>162</v>
      </c>
      <c r="F364" s="43" t="s">
        <v>169</v>
      </c>
      <c r="G364" s="43">
        <v>4571</v>
      </c>
      <c r="H364" s="43">
        <v>1828.4</v>
      </c>
      <c r="I364" s="43">
        <f>YEAR(tbl_dashboard[[#This Row],[Fecha]])</f>
        <v>2020</v>
      </c>
      <c r="J364" s="43" t="str">
        <f>TEXT(tbl_dashboard[[#This Row],[Fecha]],"mmmm")</f>
        <v>Febrero</v>
      </c>
      <c r="K364" s="43">
        <f>WEEKNUM(tbl_dashboard[[#This Row],[Fecha]],2)</f>
        <v>9</v>
      </c>
    </row>
    <row r="365" spans="2:11" x14ac:dyDescent="0.2">
      <c r="B365" s="75">
        <v>43885</v>
      </c>
      <c r="C365" s="43" t="s">
        <v>190</v>
      </c>
      <c r="D365" s="43" t="s">
        <v>161</v>
      </c>
      <c r="E365" s="43" t="s">
        <v>162</v>
      </c>
      <c r="F365" s="43" t="s">
        <v>169</v>
      </c>
      <c r="G365" s="43">
        <v>9472</v>
      </c>
      <c r="H365" s="43">
        <v>1610.24</v>
      </c>
      <c r="I365" s="43">
        <f>YEAR(tbl_dashboard[[#This Row],[Fecha]])</f>
        <v>2020</v>
      </c>
      <c r="J365" s="43" t="str">
        <f>TEXT(tbl_dashboard[[#This Row],[Fecha]],"mmmm")</f>
        <v>Febrero</v>
      </c>
      <c r="K365" s="43">
        <f>WEEKNUM(tbl_dashboard[[#This Row],[Fecha]],2)</f>
        <v>9</v>
      </c>
    </row>
    <row r="366" spans="2:11" x14ac:dyDescent="0.2">
      <c r="B366" s="75">
        <v>43885</v>
      </c>
      <c r="C366" s="43" t="s">
        <v>191</v>
      </c>
      <c r="D366" s="43" t="s">
        <v>168</v>
      </c>
      <c r="E366" s="43" t="s">
        <v>162</v>
      </c>
      <c r="F366" s="43" t="s">
        <v>169</v>
      </c>
      <c r="G366" s="43">
        <v>1356</v>
      </c>
      <c r="H366" s="43">
        <v>284.76</v>
      </c>
      <c r="I366" s="43">
        <f>YEAR(tbl_dashboard[[#This Row],[Fecha]])</f>
        <v>2020</v>
      </c>
      <c r="J366" s="43" t="str">
        <f>TEXT(tbl_dashboard[[#This Row],[Fecha]],"mmmm")</f>
        <v>Febrero</v>
      </c>
      <c r="K366" s="43">
        <f>WEEKNUM(tbl_dashboard[[#This Row],[Fecha]],2)</f>
        <v>9</v>
      </c>
    </row>
    <row r="367" spans="2:11" x14ac:dyDescent="0.2">
      <c r="B367" s="75">
        <v>43885</v>
      </c>
      <c r="C367" s="43" t="s">
        <v>192</v>
      </c>
      <c r="D367" s="43" t="s">
        <v>168</v>
      </c>
      <c r="E367" s="43" t="s">
        <v>166</v>
      </c>
      <c r="F367" s="43" t="s">
        <v>169</v>
      </c>
      <c r="G367" s="43">
        <v>4930</v>
      </c>
      <c r="H367" s="43">
        <v>887.4</v>
      </c>
      <c r="I367" s="43">
        <f>YEAR(tbl_dashboard[[#This Row],[Fecha]])</f>
        <v>2020</v>
      </c>
      <c r="J367" s="43" t="str">
        <f>TEXT(tbl_dashboard[[#This Row],[Fecha]],"mmmm")</f>
        <v>Febrero</v>
      </c>
      <c r="K367" s="43">
        <f>WEEKNUM(tbl_dashboard[[#This Row],[Fecha]],2)</f>
        <v>9</v>
      </c>
    </row>
    <row r="368" spans="2:11" x14ac:dyDescent="0.2">
      <c r="B368" s="75">
        <v>43885</v>
      </c>
      <c r="C368" s="43" t="s">
        <v>193</v>
      </c>
      <c r="D368" s="43" t="s">
        <v>168</v>
      </c>
      <c r="E368" s="43" t="s">
        <v>162</v>
      </c>
      <c r="F368" s="43" t="s">
        <v>169</v>
      </c>
      <c r="G368" s="43">
        <v>6982</v>
      </c>
      <c r="H368" s="43">
        <v>2792.8</v>
      </c>
      <c r="I368" s="43">
        <f>YEAR(tbl_dashboard[[#This Row],[Fecha]])</f>
        <v>2020</v>
      </c>
      <c r="J368" s="43" t="str">
        <f>TEXT(tbl_dashboard[[#This Row],[Fecha]],"mmmm")</f>
        <v>Febrero</v>
      </c>
      <c r="K368" s="43">
        <f>WEEKNUM(tbl_dashboard[[#This Row],[Fecha]],2)</f>
        <v>9</v>
      </c>
    </row>
    <row r="369" spans="2:11" x14ac:dyDescent="0.2">
      <c r="B369" s="75">
        <v>43885</v>
      </c>
      <c r="C369" s="43" t="s">
        <v>194</v>
      </c>
      <c r="D369" s="43" t="s">
        <v>168</v>
      </c>
      <c r="E369" s="43" t="s">
        <v>166</v>
      </c>
      <c r="F369" s="43" t="s">
        <v>163</v>
      </c>
      <c r="G369" s="43">
        <v>11618</v>
      </c>
      <c r="H369" s="43">
        <v>3717.76</v>
      </c>
      <c r="I369" s="43">
        <f>YEAR(tbl_dashboard[[#This Row],[Fecha]])</f>
        <v>2020</v>
      </c>
      <c r="J369" s="43" t="str">
        <f>TEXT(tbl_dashboard[[#This Row],[Fecha]],"mmmm")</f>
        <v>Febrero</v>
      </c>
      <c r="K369" s="43">
        <f>WEEKNUM(tbl_dashboard[[#This Row],[Fecha]],2)</f>
        <v>9</v>
      </c>
    </row>
    <row r="370" spans="2:11" x14ac:dyDescent="0.2">
      <c r="B370" s="75">
        <v>43885</v>
      </c>
      <c r="C370" s="43" t="s">
        <v>195</v>
      </c>
      <c r="D370" s="43" t="s">
        <v>165</v>
      </c>
      <c r="E370" s="43" t="s">
        <v>162</v>
      </c>
      <c r="F370" s="43" t="s">
        <v>163</v>
      </c>
      <c r="G370" s="43">
        <v>6667</v>
      </c>
      <c r="H370" s="43">
        <v>1066.72</v>
      </c>
      <c r="I370" s="43">
        <f>YEAR(tbl_dashboard[[#This Row],[Fecha]])</f>
        <v>2020</v>
      </c>
      <c r="J370" s="43" t="str">
        <f>TEXT(tbl_dashboard[[#This Row],[Fecha]],"mmmm")</f>
        <v>Febrero</v>
      </c>
      <c r="K370" s="43">
        <f>WEEKNUM(tbl_dashboard[[#This Row],[Fecha]],2)</f>
        <v>9</v>
      </c>
    </row>
    <row r="371" spans="2:11" x14ac:dyDescent="0.2">
      <c r="B371" s="75">
        <v>43885</v>
      </c>
      <c r="C371" s="43" t="s">
        <v>196</v>
      </c>
      <c r="D371" s="43" t="s">
        <v>168</v>
      </c>
      <c r="E371" s="43" t="s">
        <v>166</v>
      </c>
      <c r="F371" s="43" t="s">
        <v>169</v>
      </c>
      <c r="G371" s="43">
        <v>2394</v>
      </c>
      <c r="H371" s="43">
        <v>383.04</v>
      </c>
      <c r="I371" s="43">
        <f>YEAR(tbl_dashboard[[#This Row],[Fecha]])</f>
        <v>2020</v>
      </c>
      <c r="J371" s="43" t="str">
        <f>TEXT(tbl_dashboard[[#This Row],[Fecha]],"mmmm")</f>
        <v>Febrero</v>
      </c>
      <c r="K371" s="43">
        <f>WEEKNUM(tbl_dashboard[[#This Row],[Fecha]],2)</f>
        <v>9</v>
      </c>
    </row>
    <row r="372" spans="2:11" x14ac:dyDescent="0.2">
      <c r="B372" s="75">
        <v>43885</v>
      </c>
      <c r="C372" s="43" t="s">
        <v>197</v>
      </c>
      <c r="D372" s="43" t="s">
        <v>161</v>
      </c>
      <c r="E372" s="43" t="s">
        <v>162</v>
      </c>
      <c r="F372" s="43" t="s">
        <v>169</v>
      </c>
      <c r="G372" s="43">
        <v>6863</v>
      </c>
      <c r="H372" s="43">
        <v>3019.72</v>
      </c>
      <c r="I372" s="43">
        <f>YEAR(tbl_dashboard[[#This Row],[Fecha]])</f>
        <v>2020</v>
      </c>
      <c r="J372" s="43" t="str">
        <f>TEXT(tbl_dashboard[[#This Row],[Fecha]],"mmmm")</f>
        <v>Febrero</v>
      </c>
      <c r="K372" s="43">
        <f>WEEKNUM(tbl_dashboard[[#This Row],[Fecha]],2)</f>
        <v>9</v>
      </c>
    </row>
    <row r="373" spans="2:11" x14ac:dyDescent="0.2">
      <c r="B373" s="75">
        <v>43885</v>
      </c>
      <c r="C373" s="43" t="s">
        <v>198</v>
      </c>
      <c r="D373" s="43" t="s">
        <v>165</v>
      </c>
      <c r="E373" s="43" t="s">
        <v>166</v>
      </c>
      <c r="F373" s="43" t="s">
        <v>163</v>
      </c>
      <c r="G373" s="43">
        <v>2528</v>
      </c>
      <c r="H373" s="43">
        <v>429.76</v>
      </c>
      <c r="I373" s="43">
        <f>YEAR(tbl_dashboard[[#This Row],[Fecha]])</f>
        <v>2020</v>
      </c>
      <c r="J373" s="43" t="str">
        <f>TEXT(tbl_dashboard[[#This Row],[Fecha]],"mmmm")</f>
        <v>Febrero</v>
      </c>
      <c r="K373" s="43">
        <f>WEEKNUM(tbl_dashboard[[#This Row],[Fecha]],2)</f>
        <v>9</v>
      </c>
    </row>
    <row r="374" spans="2:11" x14ac:dyDescent="0.2">
      <c r="B374" s="75">
        <v>43885</v>
      </c>
      <c r="C374" s="43" t="s">
        <v>199</v>
      </c>
      <c r="D374" s="43" t="s">
        <v>168</v>
      </c>
      <c r="E374" s="43" t="s">
        <v>162</v>
      </c>
      <c r="F374" s="43" t="s">
        <v>163</v>
      </c>
      <c r="G374" s="43">
        <v>4900</v>
      </c>
      <c r="H374" s="43">
        <v>1911</v>
      </c>
      <c r="I374" s="43">
        <f>YEAR(tbl_dashboard[[#This Row],[Fecha]])</f>
        <v>2020</v>
      </c>
      <c r="J374" s="43" t="str">
        <f>TEXT(tbl_dashboard[[#This Row],[Fecha]],"mmmm")</f>
        <v>Febrero</v>
      </c>
      <c r="K374" s="43">
        <f>WEEKNUM(tbl_dashboard[[#This Row],[Fecha]],2)</f>
        <v>9</v>
      </c>
    </row>
    <row r="375" spans="2:11" x14ac:dyDescent="0.2">
      <c r="B375" s="75">
        <v>43920</v>
      </c>
      <c r="C375" s="43" t="s">
        <v>160</v>
      </c>
      <c r="D375" s="43" t="s">
        <v>165</v>
      </c>
      <c r="E375" s="43" t="s">
        <v>162</v>
      </c>
      <c r="F375" s="43" t="s">
        <v>169</v>
      </c>
      <c r="G375" s="43">
        <v>1826</v>
      </c>
      <c r="H375" s="43">
        <v>803.44</v>
      </c>
      <c r="I375" s="43">
        <f>YEAR(tbl_dashboard[[#This Row],[Fecha]])</f>
        <v>2020</v>
      </c>
      <c r="J375" s="43" t="str">
        <f>TEXT(tbl_dashboard[[#This Row],[Fecha]],"mmmm")</f>
        <v>Marzo</v>
      </c>
      <c r="K375" s="43">
        <f>WEEKNUM(tbl_dashboard[[#This Row],[Fecha]],2)</f>
        <v>14</v>
      </c>
    </row>
    <row r="376" spans="2:11" x14ac:dyDescent="0.2">
      <c r="B376" s="75">
        <v>43916</v>
      </c>
      <c r="C376" s="43" t="s">
        <v>164</v>
      </c>
      <c r="D376" s="43" t="s">
        <v>165</v>
      </c>
      <c r="E376" s="43" t="s">
        <v>166</v>
      </c>
      <c r="F376" s="43" t="s">
        <v>163</v>
      </c>
      <c r="G376" s="43">
        <v>5218</v>
      </c>
      <c r="H376" s="43">
        <v>2035.02</v>
      </c>
      <c r="I376" s="43">
        <f>YEAR(tbl_dashboard[[#This Row],[Fecha]])</f>
        <v>2020</v>
      </c>
      <c r="J376" s="43" t="str">
        <f>TEXT(tbl_dashboard[[#This Row],[Fecha]],"mmmm")</f>
        <v>Marzo</v>
      </c>
      <c r="K376" s="43">
        <f>WEEKNUM(tbl_dashboard[[#This Row],[Fecha]],2)</f>
        <v>13</v>
      </c>
    </row>
    <row r="377" spans="2:11" x14ac:dyDescent="0.2">
      <c r="B377" s="75">
        <v>43915</v>
      </c>
      <c r="C377" s="43" t="s">
        <v>167</v>
      </c>
      <c r="D377" s="43" t="s">
        <v>165</v>
      </c>
      <c r="E377" s="43" t="s">
        <v>162</v>
      </c>
      <c r="F377" s="43" t="s">
        <v>169</v>
      </c>
      <c r="G377" s="43">
        <v>3188</v>
      </c>
      <c r="H377" s="43">
        <v>733.24</v>
      </c>
      <c r="I377" s="43">
        <f>YEAR(tbl_dashboard[[#This Row],[Fecha]])</f>
        <v>2020</v>
      </c>
      <c r="J377" s="43" t="str">
        <f>TEXT(tbl_dashboard[[#This Row],[Fecha]],"mmmm")</f>
        <v>Marzo</v>
      </c>
      <c r="K377" s="43">
        <f>WEEKNUM(tbl_dashboard[[#This Row],[Fecha]],2)</f>
        <v>13</v>
      </c>
    </row>
    <row r="378" spans="2:11" x14ac:dyDescent="0.2">
      <c r="B378" s="75">
        <v>43915</v>
      </c>
      <c r="C378" s="43" t="s">
        <v>170</v>
      </c>
      <c r="D378" s="43" t="s">
        <v>161</v>
      </c>
      <c r="E378" s="43" t="s">
        <v>166</v>
      </c>
      <c r="F378" s="43" t="s">
        <v>169</v>
      </c>
      <c r="G378" s="43">
        <v>11932</v>
      </c>
      <c r="H378" s="43">
        <v>2744.36</v>
      </c>
      <c r="I378" s="43">
        <f>YEAR(tbl_dashboard[[#This Row],[Fecha]])</f>
        <v>2020</v>
      </c>
      <c r="J378" s="43" t="str">
        <f>TEXT(tbl_dashboard[[#This Row],[Fecha]],"mmmm")</f>
        <v>Marzo</v>
      </c>
      <c r="K378" s="43">
        <f>WEEKNUM(tbl_dashboard[[#This Row],[Fecha]],2)</f>
        <v>13</v>
      </c>
    </row>
    <row r="379" spans="2:11" x14ac:dyDescent="0.2">
      <c r="B379" s="75">
        <v>43915</v>
      </c>
      <c r="C379" s="43" t="s">
        <v>171</v>
      </c>
      <c r="D379" s="43" t="s">
        <v>165</v>
      </c>
      <c r="E379" s="43" t="s">
        <v>162</v>
      </c>
      <c r="F379" s="43" t="s">
        <v>169</v>
      </c>
      <c r="G379" s="43">
        <v>6950</v>
      </c>
      <c r="H379" s="43">
        <v>2224</v>
      </c>
      <c r="I379" s="43">
        <f>YEAR(tbl_dashboard[[#This Row],[Fecha]])</f>
        <v>2020</v>
      </c>
      <c r="J379" s="43" t="str">
        <f>TEXT(tbl_dashboard[[#This Row],[Fecha]],"mmmm")</f>
        <v>Marzo</v>
      </c>
      <c r="K379" s="43">
        <f>WEEKNUM(tbl_dashboard[[#This Row],[Fecha]],2)</f>
        <v>13</v>
      </c>
    </row>
    <row r="380" spans="2:11" x14ac:dyDescent="0.2">
      <c r="B380" s="75">
        <v>43915</v>
      </c>
      <c r="C380" s="43" t="s">
        <v>172</v>
      </c>
      <c r="D380" s="43" t="s">
        <v>168</v>
      </c>
      <c r="E380" s="43" t="s">
        <v>162</v>
      </c>
      <c r="F380" s="43" t="s">
        <v>169</v>
      </c>
      <c r="G380" s="43">
        <v>2435</v>
      </c>
      <c r="H380" s="43">
        <v>730.5</v>
      </c>
      <c r="I380" s="43">
        <f>YEAR(tbl_dashboard[[#This Row],[Fecha]])</f>
        <v>2020</v>
      </c>
      <c r="J380" s="43" t="str">
        <f>TEXT(tbl_dashboard[[#This Row],[Fecha]],"mmmm")</f>
        <v>Marzo</v>
      </c>
      <c r="K380" s="43">
        <f>WEEKNUM(tbl_dashboard[[#This Row],[Fecha]],2)</f>
        <v>13</v>
      </c>
    </row>
    <row r="381" spans="2:11" x14ac:dyDescent="0.2">
      <c r="B381" s="75">
        <v>43914</v>
      </c>
      <c r="C381" s="43" t="s">
        <v>173</v>
      </c>
      <c r="D381" s="43" t="s">
        <v>161</v>
      </c>
      <c r="E381" s="43" t="s">
        <v>166</v>
      </c>
      <c r="F381" s="43" t="s">
        <v>169</v>
      </c>
      <c r="G381" s="43">
        <v>4495</v>
      </c>
      <c r="H381" s="43">
        <v>1573.25</v>
      </c>
      <c r="I381" s="43">
        <f>YEAR(tbl_dashboard[[#This Row],[Fecha]])</f>
        <v>2020</v>
      </c>
      <c r="J381" s="43" t="str">
        <f>TEXT(tbl_dashboard[[#This Row],[Fecha]],"mmmm")</f>
        <v>Marzo</v>
      </c>
      <c r="K381" s="43">
        <f>WEEKNUM(tbl_dashboard[[#This Row],[Fecha]],2)</f>
        <v>13</v>
      </c>
    </row>
    <row r="382" spans="2:11" x14ac:dyDescent="0.2">
      <c r="B382" s="75">
        <v>43920</v>
      </c>
      <c r="C382" s="43" t="s">
        <v>174</v>
      </c>
      <c r="D382" s="43" t="s">
        <v>165</v>
      </c>
      <c r="E382" s="43" t="s">
        <v>162</v>
      </c>
      <c r="F382" s="43" t="s">
        <v>163</v>
      </c>
      <c r="G382" s="43">
        <v>10100</v>
      </c>
      <c r="H382" s="43">
        <v>1616</v>
      </c>
      <c r="I382" s="43">
        <f>YEAR(tbl_dashboard[[#This Row],[Fecha]])</f>
        <v>2020</v>
      </c>
      <c r="J382" s="43" t="str">
        <f>TEXT(tbl_dashboard[[#This Row],[Fecha]],"mmmm")</f>
        <v>Marzo</v>
      </c>
      <c r="K382" s="43">
        <f>WEEKNUM(tbl_dashboard[[#This Row],[Fecha]],2)</f>
        <v>14</v>
      </c>
    </row>
    <row r="383" spans="2:11" x14ac:dyDescent="0.2">
      <c r="B383" s="75">
        <v>43920</v>
      </c>
      <c r="C383" s="43" t="s">
        <v>175</v>
      </c>
      <c r="D383" s="43" t="s">
        <v>168</v>
      </c>
      <c r="E383" s="43" t="s">
        <v>162</v>
      </c>
      <c r="F383" s="43" t="s">
        <v>163</v>
      </c>
      <c r="G383" s="43">
        <v>1373</v>
      </c>
      <c r="H383" s="43">
        <v>288.33</v>
      </c>
      <c r="I383" s="43">
        <f>YEAR(tbl_dashboard[[#This Row],[Fecha]])</f>
        <v>2020</v>
      </c>
      <c r="J383" s="43" t="str">
        <f>TEXT(tbl_dashboard[[#This Row],[Fecha]],"mmmm")</f>
        <v>Marzo</v>
      </c>
      <c r="K383" s="43">
        <f>WEEKNUM(tbl_dashboard[[#This Row],[Fecha]],2)</f>
        <v>14</v>
      </c>
    </row>
    <row r="384" spans="2:11" x14ac:dyDescent="0.2">
      <c r="B384" s="75">
        <v>43920</v>
      </c>
      <c r="C384" s="43" t="s">
        <v>176</v>
      </c>
      <c r="D384" s="43" t="s">
        <v>168</v>
      </c>
      <c r="E384" s="43" t="s">
        <v>162</v>
      </c>
      <c r="F384" s="43" t="s">
        <v>169</v>
      </c>
      <c r="G384" s="43">
        <v>8815</v>
      </c>
      <c r="H384" s="43">
        <v>1322.25</v>
      </c>
      <c r="I384" s="43">
        <f>YEAR(tbl_dashboard[[#This Row],[Fecha]])</f>
        <v>2020</v>
      </c>
      <c r="J384" s="43" t="str">
        <f>TEXT(tbl_dashboard[[#This Row],[Fecha]],"mmmm")</f>
        <v>Marzo</v>
      </c>
      <c r="K384" s="43">
        <f>WEEKNUM(tbl_dashboard[[#This Row],[Fecha]],2)</f>
        <v>14</v>
      </c>
    </row>
    <row r="385" spans="2:11" x14ac:dyDescent="0.2">
      <c r="B385" s="75">
        <v>43920</v>
      </c>
      <c r="C385" s="43" t="s">
        <v>177</v>
      </c>
      <c r="D385" s="43" t="s">
        <v>165</v>
      </c>
      <c r="E385" s="43" t="s">
        <v>166</v>
      </c>
      <c r="F385" s="43" t="s">
        <v>169</v>
      </c>
      <c r="G385" s="43">
        <v>2781</v>
      </c>
      <c r="H385" s="43">
        <v>556.20000000000005</v>
      </c>
      <c r="I385" s="43">
        <f>YEAR(tbl_dashboard[[#This Row],[Fecha]])</f>
        <v>2020</v>
      </c>
      <c r="J385" s="43" t="str">
        <f>TEXT(tbl_dashboard[[#This Row],[Fecha]],"mmmm")</f>
        <v>Marzo</v>
      </c>
      <c r="K385" s="43">
        <f>WEEKNUM(tbl_dashboard[[#This Row],[Fecha]],2)</f>
        <v>14</v>
      </c>
    </row>
    <row r="386" spans="2:11" x14ac:dyDescent="0.2">
      <c r="B386" s="75">
        <v>43920</v>
      </c>
      <c r="C386" s="43" t="s">
        <v>178</v>
      </c>
      <c r="D386" s="43" t="s">
        <v>165</v>
      </c>
      <c r="E386" s="43" t="s">
        <v>162</v>
      </c>
      <c r="F386" s="43" t="s">
        <v>163</v>
      </c>
      <c r="G386" s="43">
        <v>7575</v>
      </c>
      <c r="H386" s="43">
        <v>1742.25</v>
      </c>
      <c r="I386" s="43">
        <f>YEAR(tbl_dashboard[[#This Row],[Fecha]])</f>
        <v>2020</v>
      </c>
      <c r="J386" s="43" t="str">
        <f>TEXT(tbl_dashboard[[#This Row],[Fecha]],"mmmm")</f>
        <v>Marzo</v>
      </c>
      <c r="K386" s="43">
        <f>WEEKNUM(tbl_dashboard[[#This Row],[Fecha]],2)</f>
        <v>14</v>
      </c>
    </row>
    <row r="387" spans="2:11" x14ac:dyDescent="0.2">
      <c r="B387" s="75">
        <v>43920</v>
      </c>
      <c r="C387" s="43" t="s">
        <v>179</v>
      </c>
      <c r="D387" s="43" t="s">
        <v>165</v>
      </c>
      <c r="E387" s="43" t="s">
        <v>166</v>
      </c>
      <c r="F387" s="43" t="s">
        <v>163</v>
      </c>
      <c r="G387" s="43">
        <v>6818</v>
      </c>
      <c r="H387" s="43">
        <v>2659.02</v>
      </c>
      <c r="I387" s="43">
        <f>YEAR(tbl_dashboard[[#This Row],[Fecha]])</f>
        <v>2020</v>
      </c>
      <c r="J387" s="43" t="str">
        <f>TEXT(tbl_dashboard[[#This Row],[Fecha]],"mmmm")</f>
        <v>Marzo</v>
      </c>
      <c r="K387" s="43">
        <f>WEEKNUM(tbl_dashboard[[#This Row],[Fecha]],2)</f>
        <v>14</v>
      </c>
    </row>
    <row r="388" spans="2:11" x14ac:dyDescent="0.2">
      <c r="B388" s="75">
        <v>43920</v>
      </c>
      <c r="C388" s="43" t="s">
        <v>180</v>
      </c>
      <c r="D388" s="43" t="s">
        <v>161</v>
      </c>
      <c r="E388" s="43" t="s">
        <v>166</v>
      </c>
      <c r="F388" s="43" t="s">
        <v>169</v>
      </c>
      <c r="G388" s="43">
        <v>1947</v>
      </c>
      <c r="H388" s="43">
        <v>700.92</v>
      </c>
      <c r="I388" s="43">
        <f>YEAR(tbl_dashboard[[#This Row],[Fecha]])</f>
        <v>2020</v>
      </c>
      <c r="J388" s="43" t="str">
        <f>TEXT(tbl_dashboard[[#This Row],[Fecha]],"mmmm")</f>
        <v>Marzo</v>
      </c>
      <c r="K388" s="43">
        <f>WEEKNUM(tbl_dashboard[[#This Row],[Fecha]],2)</f>
        <v>14</v>
      </c>
    </row>
    <row r="389" spans="2:11" x14ac:dyDescent="0.2">
      <c r="B389" s="75">
        <v>43916</v>
      </c>
      <c r="C389" s="43" t="s">
        <v>181</v>
      </c>
      <c r="D389" s="43" t="s">
        <v>161</v>
      </c>
      <c r="E389" s="43" t="s">
        <v>162</v>
      </c>
      <c r="F389" s="43" t="s">
        <v>163</v>
      </c>
      <c r="G389" s="43">
        <v>10919</v>
      </c>
      <c r="H389" s="43">
        <v>3712.46</v>
      </c>
      <c r="I389" s="43">
        <f>YEAR(tbl_dashboard[[#This Row],[Fecha]])</f>
        <v>2020</v>
      </c>
      <c r="J389" s="43" t="str">
        <f>TEXT(tbl_dashboard[[#This Row],[Fecha]],"mmmm")</f>
        <v>Marzo</v>
      </c>
      <c r="K389" s="43">
        <f>WEEKNUM(tbl_dashboard[[#This Row],[Fecha]],2)</f>
        <v>13</v>
      </c>
    </row>
    <row r="390" spans="2:11" x14ac:dyDescent="0.2">
      <c r="B390" s="75">
        <v>43915</v>
      </c>
      <c r="C390" s="43" t="s">
        <v>182</v>
      </c>
      <c r="D390" s="43" t="s">
        <v>165</v>
      </c>
      <c r="E390" s="43" t="s">
        <v>162</v>
      </c>
      <c r="F390" s="43" t="s">
        <v>169</v>
      </c>
      <c r="G390" s="43">
        <v>8167</v>
      </c>
      <c r="H390" s="43">
        <v>3348.47</v>
      </c>
      <c r="I390" s="43">
        <f>YEAR(tbl_dashboard[[#This Row],[Fecha]])</f>
        <v>2020</v>
      </c>
      <c r="J390" s="43" t="str">
        <f>TEXT(tbl_dashboard[[#This Row],[Fecha]],"mmmm")</f>
        <v>Marzo</v>
      </c>
      <c r="K390" s="43">
        <f>WEEKNUM(tbl_dashboard[[#This Row],[Fecha]],2)</f>
        <v>13</v>
      </c>
    </row>
    <row r="391" spans="2:11" x14ac:dyDescent="0.2">
      <c r="B391" s="75">
        <v>43915</v>
      </c>
      <c r="C391" s="43" t="s">
        <v>183</v>
      </c>
      <c r="D391" s="43" t="s">
        <v>168</v>
      </c>
      <c r="E391" s="43" t="s">
        <v>166</v>
      </c>
      <c r="F391" s="43" t="s">
        <v>169</v>
      </c>
      <c r="G391" s="43">
        <v>5909</v>
      </c>
      <c r="H391" s="43">
        <v>1299.98</v>
      </c>
      <c r="I391" s="43">
        <f>YEAR(tbl_dashboard[[#This Row],[Fecha]])</f>
        <v>2020</v>
      </c>
      <c r="J391" s="43" t="str">
        <f>TEXT(tbl_dashboard[[#This Row],[Fecha]],"mmmm")</f>
        <v>Marzo</v>
      </c>
      <c r="K391" s="43">
        <f>WEEKNUM(tbl_dashboard[[#This Row],[Fecha]],2)</f>
        <v>13</v>
      </c>
    </row>
    <row r="392" spans="2:11" x14ac:dyDescent="0.2">
      <c r="B392" s="75">
        <v>43915</v>
      </c>
      <c r="C392" s="43" t="s">
        <v>184</v>
      </c>
      <c r="D392" s="43" t="s">
        <v>168</v>
      </c>
      <c r="E392" s="43" t="s">
        <v>166</v>
      </c>
      <c r="F392" s="43" t="s">
        <v>169</v>
      </c>
      <c r="G392" s="43">
        <v>8508</v>
      </c>
      <c r="H392" s="43">
        <v>1361.28</v>
      </c>
      <c r="I392" s="43">
        <f>YEAR(tbl_dashboard[[#This Row],[Fecha]])</f>
        <v>2020</v>
      </c>
      <c r="J392" s="43" t="str">
        <f>TEXT(tbl_dashboard[[#This Row],[Fecha]],"mmmm")</f>
        <v>Marzo</v>
      </c>
      <c r="K392" s="43">
        <f>WEEKNUM(tbl_dashboard[[#This Row],[Fecha]],2)</f>
        <v>13</v>
      </c>
    </row>
    <row r="393" spans="2:11" x14ac:dyDescent="0.2">
      <c r="B393" s="75">
        <v>43915</v>
      </c>
      <c r="C393" s="43" t="s">
        <v>185</v>
      </c>
      <c r="D393" s="43" t="s">
        <v>165</v>
      </c>
      <c r="E393" s="43" t="s">
        <v>166</v>
      </c>
      <c r="F393" s="43" t="s">
        <v>169</v>
      </c>
      <c r="G393" s="43">
        <v>10706</v>
      </c>
      <c r="H393" s="43">
        <v>4282.3999999999996</v>
      </c>
      <c r="I393" s="43">
        <f>YEAR(tbl_dashboard[[#This Row],[Fecha]])</f>
        <v>2020</v>
      </c>
      <c r="J393" s="43" t="str">
        <f>TEXT(tbl_dashboard[[#This Row],[Fecha]],"mmmm")</f>
        <v>Marzo</v>
      </c>
      <c r="K393" s="43">
        <f>WEEKNUM(tbl_dashboard[[#This Row],[Fecha]],2)</f>
        <v>13</v>
      </c>
    </row>
    <row r="394" spans="2:11" x14ac:dyDescent="0.2">
      <c r="B394" s="75">
        <v>43914</v>
      </c>
      <c r="C394" s="43" t="s">
        <v>186</v>
      </c>
      <c r="D394" s="43" t="s">
        <v>165</v>
      </c>
      <c r="E394" s="43" t="s">
        <v>162</v>
      </c>
      <c r="F394" s="43" t="s">
        <v>169</v>
      </c>
      <c r="G394" s="43">
        <v>6256</v>
      </c>
      <c r="H394" s="43">
        <v>1000.96</v>
      </c>
      <c r="I394" s="43">
        <f>YEAR(tbl_dashboard[[#This Row],[Fecha]])</f>
        <v>2020</v>
      </c>
      <c r="J394" s="43" t="str">
        <f>TEXT(tbl_dashboard[[#This Row],[Fecha]],"mmmm")</f>
        <v>Marzo</v>
      </c>
      <c r="K394" s="43">
        <f>WEEKNUM(tbl_dashboard[[#This Row],[Fecha]],2)</f>
        <v>13</v>
      </c>
    </row>
    <row r="395" spans="2:11" x14ac:dyDescent="0.2">
      <c r="B395" s="75">
        <v>43921</v>
      </c>
      <c r="C395" s="43" t="s">
        <v>187</v>
      </c>
      <c r="D395" s="43" t="s">
        <v>165</v>
      </c>
      <c r="E395" s="43" t="s">
        <v>166</v>
      </c>
      <c r="F395" s="43" t="s">
        <v>163</v>
      </c>
      <c r="G395" s="43">
        <v>2440</v>
      </c>
      <c r="H395" s="43">
        <v>1024.8</v>
      </c>
      <c r="I395" s="43">
        <f>YEAR(tbl_dashboard[[#This Row],[Fecha]])</f>
        <v>2020</v>
      </c>
      <c r="J395" s="43" t="str">
        <f>TEXT(tbl_dashboard[[#This Row],[Fecha]],"mmmm")</f>
        <v>Marzo</v>
      </c>
      <c r="K395" s="43">
        <f>WEEKNUM(tbl_dashboard[[#This Row],[Fecha]],2)</f>
        <v>14</v>
      </c>
    </row>
    <row r="396" spans="2:11" x14ac:dyDescent="0.2">
      <c r="B396" s="75">
        <v>43921</v>
      </c>
      <c r="C396" s="43" t="s">
        <v>188</v>
      </c>
      <c r="D396" s="43" t="s">
        <v>161</v>
      </c>
      <c r="E396" s="43" t="s">
        <v>162</v>
      </c>
      <c r="F396" s="43" t="s">
        <v>163</v>
      </c>
      <c r="G396" s="43">
        <v>11442</v>
      </c>
      <c r="H396" s="43">
        <v>2974.92</v>
      </c>
      <c r="I396" s="43">
        <f>YEAR(tbl_dashboard[[#This Row],[Fecha]])</f>
        <v>2020</v>
      </c>
      <c r="J396" s="43" t="str">
        <f>TEXT(tbl_dashboard[[#This Row],[Fecha]],"mmmm")</f>
        <v>Marzo</v>
      </c>
      <c r="K396" s="43">
        <f>WEEKNUM(tbl_dashboard[[#This Row],[Fecha]],2)</f>
        <v>14</v>
      </c>
    </row>
    <row r="397" spans="2:11" x14ac:dyDescent="0.2">
      <c r="B397" s="75">
        <v>43921</v>
      </c>
      <c r="C397" s="43" t="s">
        <v>189</v>
      </c>
      <c r="D397" s="43" t="s">
        <v>165</v>
      </c>
      <c r="E397" s="43" t="s">
        <v>162</v>
      </c>
      <c r="F397" s="43" t="s">
        <v>169</v>
      </c>
      <c r="G397" s="43">
        <v>2188</v>
      </c>
      <c r="H397" s="43">
        <v>787.68</v>
      </c>
      <c r="I397" s="43">
        <f>YEAR(tbl_dashboard[[#This Row],[Fecha]])</f>
        <v>2020</v>
      </c>
      <c r="J397" s="43" t="str">
        <f>TEXT(tbl_dashboard[[#This Row],[Fecha]],"mmmm")</f>
        <v>Marzo</v>
      </c>
      <c r="K397" s="43">
        <f>WEEKNUM(tbl_dashboard[[#This Row],[Fecha]],2)</f>
        <v>14</v>
      </c>
    </row>
    <row r="398" spans="2:11" x14ac:dyDescent="0.2">
      <c r="B398" s="75">
        <v>43951</v>
      </c>
      <c r="C398" s="43" t="s">
        <v>160</v>
      </c>
      <c r="D398" s="43" t="s">
        <v>165</v>
      </c>
      <c r="E398" s="43" t="s">
        <v>162</v>
      </c>
      <c r="F398" s="43" t="s">
        <v>169</v>
      </c>
      <c r="G398" s="43">
        <v>10680</v>
      </c>
      <c r="H398" s="43">
        <v>3417.6</v>
      </c>
      <c r="I398" s="43">
        <f>YEAR(tbl_dashboard[[#This Row],[Fecha]])</f>
        <v>2020</v>
      </c>
      <c r="J398" s="43" t="str">
        <f>TEXT(tbl_dashboard[[#This Row],[Fecha]],"mmmm")</f>
        <v>Abril</v>
      </c>
      <c r="K398" s="43">
        <f>WEEKNUM(tbl_dashboard[[#This Row],[Fecha]],2)</f>
        <v>18</v>
      </c>
    </row>
    <row r="399" spans="2:11" x14ac:dyDescent="0.2">
      <c r="B399" s="75">
        <v>43951</v>
      </c>
      <c r="C399" s="43" t="s">
        <v>164</v>
      </c>
      <c r="D399" s="43" t="s">
        <v>168</v>
      </c>
      <c r="E399" s="43" t="s">
        <v>162</v>
      </c>
      <c r="F399" s="43" t="s">
        <v>163</v>
      </c>
      <c r="G399" s="43">
        <v>7884</v>
      </c>
      <c r="H399" s="43">
        <v>2601.7199999999998</v>
      </c>
      <c r="I399" s="43">
        <f>YEAR(tbl_dashboard[[#This Row],[Fecha]])</f>
        <v>2020</v>
      </c>
      <c r="J399" s="43" t="str">
        <f>TEXT(tbl_dashboard[[#This Row],[Fecha]],"mmmm")</f>
        <v>Abril</v>
      </c>
      <c r="K399" s="43">
        <f>WEEKNUM(tbl_dashboard[[#This Row],[Fecha]],2)</f>
        <v>18</v>
      </c>
    </row>
    <row r="400" spans="2:11" x14ac:dyDescent="0.2">
      <c r="B400" s="75">
        <v>43951</v>
      </c>
      <c r="C400" s="43" t="s">
        <v>167</v>
      </c>
      <c r="D400" s="43" t="s">
        <v>165</v>
      </c>
      <c r="E400" s="43" t="s">
        <v>162</v>
      </c>
      <c r="F400" s="43" t="s">
        <v>163</v>
      </c>
      <c r="G400" s="43">
        <v>9392</v>
      </c>
      <c r="H400" s="43">
        <v>2348</v>
      </c>
      <c r="I400" s="43">
        <f>YEAR(tbl_dashboard[[#This Row],[Fecha]])</f>
        <v>2020</v>
      </c>
      <c r="J400" s="43" t="str">
        <f>TEXT(tbl_dashboard[[#This Row],[Fecha]],"mmmm")</f>
        <v>Abril</v>
      </c>
      <c r="K400" s="43">
        <f>WEEKNUM(tbl_dashboard[[#This Row],[Fecha]],2)</f>
        <v>18</v>
      </c>
    </row>
    <row r="401" spans="2:11" x14ac:dyDescent="0.2">
      <c r="B401" s="75">
        <v>43951</v>
      </c>
      <c r="C401" s="43" t="s">
        <v>170</v>
      </c>
      <c r="D401" s="43" t="s">
        <v>161</v>
      </c>
      <c r="E401" s="43" t="s">
        <v>162</v>
      </c>
      <c r="F401" s="43" t="s">
        <v>169</v>
      </c>
      <c r="G401" s="43">
        <v>3499</v>
      </c>
      <c r="H401" s="43">
        <v>1399.6</v>
      </c>
      <c r="I401" s="43">
        <f>YEAR(tbl_dashboard[[#This Row],[Fecha]])</f>
        <v>2020</v>
      </c>
      <c r="J401" s="43" t="str">
        <f>TEXT(tbl_dashboard[[#This Row],[Fecha]],"mmmm")</f>
        <v>Abril</v>
      </c>
      <c r="K401" s="43">
        <f>WEEKNUM(tbl_dashboard[[#This Row],[Fecha]],2)</f>
        <v>18</v>
      </c>
    </row>
    <row r="402" spans="2:11" x14ac:dyDescent="0.2">
      <c r="B402" s="75">
        <v>43947</v>
      </c>
      <c r="C402" s="43" t="s">
        <v>171</v>
      </c>
      <c r="D402" s="43" t="s">
        <v>161</v>
      </c>
      <c r="E402" s="43" t="s">
        <v>162</v>
      </c>
      <c r="F402" s="43" t="s">
        <v>163</v>
      </c>
      <c r="G402" s="43">
        <v>1906</v>
      </c>
      <c r="H402" s="43">
        <v>285.89999999999998</v>
      </c>
      <c r="I402" s="43">
        <f>YEAR(tbl_dashboard[[#This Row],[Fecha]])</f>
        <v>2020</v>
      </c>
      <c r="J402" s="43" t="str">
        <f>TEXT(tbl_dashboard[[#This Row],[Fecha]],"mmmm")</f>
        <v>Abril</v>
      </c>
      <c r="K402" s="43">
        <f>WEEKNUM(tbl_dashboard[[#This Row],[Fecha]],2)</f>
        <v>17</v>
      </c>
    </row>
    <row r="403" spans="2:11" x14ac:dyDescent="0.2">
      <c r="B403" s="75">
        <v>43946</v>
      </c>
      <c r="C403" s="43" t="s">
        <v>172</v>
      </c>
      <c r="D403" s="43" t="s">
        <v>161</v>
      </c>
      <c r="E403" s="43" t="s">
        <v>166</v>
      </c>
      <c r="F403" s="43" t="s">
        <v>169</v>
      </c>
      <c r="G403" s="43">
        <v>11046</v>
      </c>
      <c r="H403" s="43">
        <v>3313.8</v>
      </c>
      <c r="I403" s="43">
        <f>YEAR(tbl_dashboard[[#This Row],[Fecha]])</f>
        <v>2020</v>
      </c>
      <c r="J403" s="43" t="str">
        <f>TEXT(tbl_dashboard[[#This Row],[Fecha]],"mmmm")</f>
        <v>Abril</v>
      </c>
      <c r="K403" s="43">
        <f>WEEKNUM(tbl_dashboard[[#This Row],[Fecha]],2)</f>
        <v>17</v>
      </c>
    </row>
    <row r="404" spans="2:11" x14ac:dyDescent="0.2">
      <c r="B404" s="75">
        <v>43946</v>
      </c>
      <c r="C404" s="43" t="s">
        <v>173</v>
      </c>
      <c r="D404" s="43" t="s">
        <v>168</v>
      </c>
      <c r="E404" s="43" t="s">
        <v>166</v>
      </c>
      <c r="F404" s="43" t="s">
        <v>169</v>
      </c>
      <c r="G404" s="43">
        <v>9987</v>
      </c>
      <c r="H404" s="43">
        <v>1697.79</v>
      </c>
      <c r="I404" s="43">
        <f>YEAR(tbl_dashboard[[#This Row],[Fecha]])</f>
        <v>2020</v>
      </c>
      <c r="J404" s="43" t="str">
        <f>TEXT(tbl_dashboard[[#This Row],[Fecha]],"mmmm")</f>
        <v>Abril</v>
      </c>
      <c r="K404" s="43">
        <f>WEEKNUM(tbl_dashboard[[#This Row],[Fecha]],2)</f>
        <v>17</v>
      </c>
    </row>
    <row r="405" spans="2:11" x14ac:dyDescent="0.2">
      <c r="B405" s="75">
        <v>43946</v>
      </c>
      <c r="C405" s="43" t="s">
        <v>174</v>
      </c>
      <c r="D405" s="43" t="s">
        <v>161</v>
      </c>
      <c r="E405" s="43" t="s">
        <v>162</v>
      </c>
      <c r="F405" s="43" t="s">
        <v>169</v>
      </c>
      <c r="G405" s="43">
        <v>7574</v>
      </c>
      <c r="H405" s="43">
        <v>2423.6799999999998</v>
      </c>
      <c r="I405" s="43">
        <f>YEAR(tbl_dashboard[[#This Row],[Fecha]])</f>
        <v>2020</v>
      </c>
      <c r="J405" s="43" t="str">
        <f>TEXT(tbl_dashboard[[#This Row],[Fecha]],"mmmm")</f>
        <v>Abril</v>
      </c>
      <c r="K405" s="43">
        <f>WEEKNUM(tbl_dashboard[[#This Row],[Fecha]],2)</f>
        <v>17</v>
      </c>
    </row>
    <row r="406" spans="2:11" x14ac:dyDescent="0.2">
      <c r="B406" s="75">
        <v>43946</v>
      </c>
      <c r="C406" s="43" t="s">
        <v>175</v>
      </c>
      <c r="D406" s="43" t="s">
        <v>161</v>
      </c>
      <c r="E406" s="43" t="s">
        <v>166</v>
      </c>
      <c r="F406" s="43" t="s">
        <v>169</v>
      </c>
      <c r="G406" s="43">
        <v>6522</v>
      </c>
      <c r="H406" s="43">
        <v>2804.46</v>
      </c>
      <c r="I406" s="43">
        <f>YEAR(tbl_dashboard[[#This Row],[Fecha]])</f>
        <v>2020</v>
      </c>
      <c r="J406" s="43" t="str">
        <f>TEXT(tbl_dashboard[[#This Row],[Fecha]],"mmmm")</f>
        <v>Abril</v>
      </c>
      <c r="K406" s="43">
        <f>WEEKNUM(tbl_dashboard[[#This Row],[Fecha]],2)</f>
        <v>17</v>
      </c>
    </row>
    <row r="407" spans="2:11" x14ac:dyDescent="0.2">
      <c r="B407" s="75">
        <v>43945</v>
      </c>
      <c r="C407" s="43" t="s">
        <v>176</v>
      </c>
      <c r="D407" s="43" t="s">
        <v>168</v>
      </c>
      <c r="E407" s="43" t="s">
        <v>162</v>
      </c>
      <c r="F407" s="43" t="s">
        <v>169</v>
      </c>
      <c r="G407" s="43">
        <v>1223</v>
      </c>
      <c r="H407" s="43">
        <v>391.36</v>
      </c>
      <c r="I407" s="43">
        <f>YEAR(tbl_dashboard[[#This Row],[Fecha]])</f>
        <v>2020</v>
      </c>
      <c r="J407" s="43" t="str">
        <f>TEXT(tbl_dashboard[[#This Row],[Fecha]],"mmmm")</f>
        <v>Abril</v>
      </c>
      <c r="K407" s="43">
        <f>WEEKNUM(tbl_dashboard[[#This Row],[Fecha]],2)</f>
        <v>17</v>
      </c>
    </row>
    <row r="408" spans="2:11" x14ac:dyDescent="0.2">
      <c r="B408" s="75">
        <v>43951</v>
      </c>
      <c r="C408" s="43" t="s">
        <v>177</v>
      </c>
      <c r="D408" s="43" t="s">
        <v>161</v>
      </c>
      <c r="E408" s="43" t="s">
        <v>162</v>
      </c>
      <c r="F408" s="43" t="s">
        <v>163</v>
      </c>
      <c r="G408" s="43">
        <v>4230</v>
      </c>
      <c r="H408" s="43">
        <v>1395.9</v>
      </c>
      <c r="I408" s="43">
        <f>YEAR(tbl_dashboard[[#This Row],[Fecha]])</f>
        <v>2020</v>
      </c>
      <c r="J408" s="43" t="str">
        <f>TEXT(tbl_dashboard[[#This Row],[Fecha]],"mmmm")</f>
        <v>Abril</v>
      </c>
      <c r="K408" s="43">
        <f>WEEKNUM(tbl_dashboard[[#This Row],[Fecha]],2)</f>
        <v>18</v>
      </c>
    </row>
    <row r="409" spans="2:11" x14ac:dyDescent="0.2">
      <c r="B409" s="75">
        <v>43951</v>
      </c>
      <c r="C409" s="43" t="s">
        <v>178</v>
      </c>
      <c r="D409" s="43" t="s">
        <v>168</v>
      </c>
      <c r="E409" s="43" t="s">
        <v>162</v>
      </c>
      <c r="F409" s="43" t="s">
        <v>163</v>
      </c>
      <c r="G409" s="43">
        <v>8925</v>
      </c>
      <c r="H409" s="43">
        <v>2499</v>
      </c>
      <c r="I409" s="43">
        <f>YEAR(tbl_dashboard[[#This Row],[Fecha]])</f>
        <v>2020</v>
      </c>
      <c r="J409" s="43" t="str">
        <f>TEXT(tbl_dashboard[[#This Row],[Fecha]],"mmmm")</f>
        <v>Abril</v>
      </c>
      <c r="K409" s="43">
        <f>WEEKNUM(tbl_dashboard[[#This Row],[Fecha]],2)</f>
        <v>18</v>
      </c>
    </row>
    <row r="410" spans="2:11" x14ac:dyDescent="0.2">
      <c r="B410" s="75">
        <v>43951</v>
      </c>
      <c r="C410" s="43" t="s">
        <v>179</v>
      </c>
      <c r="D410" s="43" t="s">
        <v>168</v>
      </c>
      <c r="E410" s="43" t="s">
        <v>166</v>
      </c>
      <c r="F410" s="43" t="s">
        <v>169</v>
      </c>
      <c r="G410" s="43">
        <v>7826</v>
      </c>
      <c r="H410" s="43">
        <v>2739.1</v>
      </c>
      <c r="I410" s="43">
        <f>YEAR(tbl_dashboard[[#This Row],[Fecha]])</f>
        <v>2020</v>
      </c>
      <c r="J410" s="43" t="str">
        <f>TEXT(tbl_dashboard[[#This Row],[Fecha]],"mmmm")</f>
        <v>Abril</v>
      </c>
      <c r="K410" s="43">
        <f>WEEKNUM(tbl_dashboard[[#This Row],[Fecha]],2)</f>
        <v>18</v>
      </c>
    </row>
    <row r="411" spans="2:11" x14ac:dyDescent="0.2">
      <c r="B411" s="75">
        <v>43951</v>
      </c>
      <c r="C411" s="43" t="s">
        <v>180</v>
      </c>
      <c r="D411" s="43" t="s">
        <v>168</v>
      </c>
      <c r="E411" s="43" t="s">
        <v>162</v>
      </c>
      <c r="F411" s="43" t="s">
        <v>169</v>
      </c>
      <c r="G411" s="43">
        <v>9201</v>
      </c>
      <c r="H411" s="43">
        <v>2944.32</v>
      </c>
      <c r="I411" s="43">
        <f>YEAR(tbl_dashboard[[#This Row],[Fecha]])</f>
        <v>2020</v>
      </c>
      <c r="J411" s="43" t="str">
        <f>TEXT(tbl_dashboard[[#This Row],[Fecha]],"mmmm")</f>
        <v>Abril</v>
      </c>
      <c r="K411" s="43">
        <f>WEEKNUM(tbl_dashboard[[#This Row],[Fecha]],2)</f>
        <v>18</v>
      </c>
    </row>
    <row r="412" spans="2:11" x14ac:dyDescent="0.2">
      <c r="B412" s="75">
        <v>43951</v>
      </c>
      <c r="C412" s="43" t="s">
        <v>181</v>
      </c>
      <c r="D412" s="43" t="s">
        <v>168</v>
      </c>
      <c r="E412" s="43" t="s">
        <v>166</v>
      </c>
      <c r="F412" s="43" t="s">
        <v>163</v>
      </c>
      <c r="G412" s="43">
        <v>3229</v>
      </c>
      <c r="H412" s="43">
        <v>516.64</v>
      </c>
      <c r="I412" s="43">
        <f>YEAR(tbl_dashboard[[#This Row],[Fecha]])</f>
        <v>2020</v>
      </c>
      <c r="J412" s="43" t="str">
        <f>TEXT(tbl_dashboard[[#This Row],[Fecha]],"mmmm")</f>
        <v>Abril</v>
      </c>
      <c r="K412" s="43">
        <f>WEEKNUM(tbl_dashboard[[#This Row],[Fecha]],2)</f>
        <v>18</v>
      </c>
    </row>
    <row r="413" spans="2:11" x14ac:dyDescent="0.2">
      <c r="B413" s="75">
        <v>43951</v>
      </c>
      <c r="C413" s="43" t="s">
        <v>182</v>
      </c>
      <c r="D413" s="43" t="s">
        <v>165</v>
      </c>
      <c r="E413" s="43" t="s">
        <v>166</v>
      </c>
      <c r="F413" s="43" t="s">
        <v>163</v>
      </c>
      <c r="G413" s="43">
        <v>7902</v>
      </c>
      <c r="H413" s="43">
        <v>2765.7</v>
      </c>
      <c r="I413" s="43">
        <f>YEAR(tbl_dashboard[[#This Row],[Fecha]])</f>
        <v>2020</v>
      </c>
      <c r="J413" s="43" t="str">
        <f>TEXT(tbl_dashboard[[#This Row],[Fecha]],"mmmm")</f>
        <v>Abril</v>
      </c>
      <c r="K413" s="43">
        <f>WEEKNUM(tbl_dashboard[[#This Row],[Fecha]],2)</f>
        <v>18</v>
      </c>
    </row>
    <row r="414" spans="2:11" x14ac:dyDescent="0.2">
      <c r="B414" s="75">
        <v>43951</v>
      </c>
      <c r="C414" s="43" t="s">
        <v>183</v>
      </c>
      <c r="D414" s="43" t="s">
        <v>168</v>
      </c>
      <c r="E414" s="43" t="s">
        <v>166</v>
      </c>
      <c r="F414" s="43" t="s">
        <v>169</v>
      </c>
      <c r="G414" s="43">
        <v>5020</v>
      </c>
      <c r="H414" s="43">
        <v>1957.8</v>
      </c>
      <c r="I414" s="43">
        <f>YEAR(tbl_dashboard[[#This Row],[Fecha]])</f>
        <v>2020</v>
      </c>
      <c r="J414" s="43" t="str">
        <f>TEXT(tbl_dashboard[[#This Row],[Fecha]],"mmmm")</f>
        <v>Abril</v>
      </c>
      <c r="K414" s="43">
        <f>WEEKNUM(tbl_dashboard[[#This Row],[Fecha]],2)</f>
        <v>18</v>
      </c>
    </row>
    <row r="415" spans="2:11" x14ac:dyDescent="0.2">
      <c r="B415" s="75">
        <v>43947</v>
      </c>
      <c r="C415" s="43" t="s">
        <v>184</v>
      </c>
      <c r="D415" s="43" t="s">
        <v>161</v>
      </c>
      <c r="E415" s="43" t="s">
        <v>162</v>
      </c>
      <c r="F415" s="43" t="s">
        <v>163</v>
      </c>
      <c r="G415" s="43">
        <v>3295</v>
      </c>
      <c r="H415" s="43">
        <v>691.95</v>
      </c>
      <c r="I415" s="43">
        <f>YEAR(tbl_dashboard[[#This Row],[Fecha]])</f>
        <v>2020</v>
      </c>
      <c r="J415" s="43" t="str">
        <f>TEXT(tbl_dashboard[[#This Row],[Fecha]],"mmmm")</f>
        <v>Abril</v>
      </c>
      <c r="K415" s="43">
        <f>WEEKNUM(tbl_dashboard[[#This Row],[Fecha]],2)</f>
        <v>17</v>
      </c>
    </row>
    <row r="416" spans="2:11" x14ac:dyDescent="0.2">
      <c r="B416" s="75">
        <v>43946</v>
      </c>
      <c r="C416" s="43" t="s">
        <v>185</v>
      </c>
      <c r="D416" s="43" t="s">
        <v>165</v>
      </c>
      <c r="E416" s="43" t="s">
        <v>162</v>
      </c>
      <c r="F416" s="43" t="s">
        <v>169</v>
      </c>
      <c r="G416" s="43">
        <v>6450</v>
      </c>
      <c r="H416" s="43">
        <v>1806</v>
      </c>
      <c r="I416" s="43">
        <f>YEAR(tbl_dashboard[[#This Row],[Fecha]])</f>
        <v>2020</v>
      </c>
      <c r="J416" s="43" t="str">
        <f>TEXT(tbl_dashboard[[#This Row],[Fecha]],"mmmm")</f>
        <v>Abril</v>
      </c>
      <c r="K416" s="43">
        <f>WEEKNUM(tbl_dashboard[[#This Row],[Fecha]],2)</f>
        <v>17</v>
      </c>
    </row>
    <row r="417" spans="2:11" x14ac:dyDescent="0.2">
      <c r="B417" s="75">
        <v>43946</v>
      </c>
      <c r="C417" s="43" t="s">
        <v>186</v>
      </c>
      <c r="D417" s="43" t="s">
        <v>168</v>
      </c>
      <c r="E417" s="43" t="s">
        <v>162</v>
      </c>
      <c r="F417" s="43" t="s">
        <v>169</v>
      </c>
      <c r="G417" s="43">
        <v>1602</v>
      </c>
      <c r="H417" s="43">
        <v>448.56</v>
      </c>
      <c r="I417" s="43">
        <f>YEAR(tbl_dashboard[[#This Row],[Fecha]])</f>
        <v>2020</v>
      </c>
      <c r="J417" s="43" t="str">
        <f>TEXT(tbl_dashboard[[#This Row],[Fecha]],"mmmm")</f>
        <v>Abril</v>
      </c>
      <c r="K417" s="43">
        <f>WEEKNUM(tbl_dashboard[[#This Row],[Fecha]],2)</f>
        <v>17</v>
      </c>
    </row>
    <row r="418" spans="2:11" x14ac:dyDescent="0.2">
      <c r="B418" s="75">
        <v>43946</v>
      </c>
      <c r="C418" s="43" t="s">
        <v>187</v>
      </c>
      <c r="D418" s="43" t="s">
        <v>165</v>
      </c>
      <c r="E418" s="43" t="s">
        <v>162</v>
      </c>
      <c r="F418" s="43" t="s">
        <v>169</v>
      </c>
      <c r="G418" s="43">
        <v>10835</v>
      </c>
      <c r="H418" s="43">
        <v>2275.35</v>
      </c>
      <c r="I418" s="43">
        <f>YEAR(tbl_dashboard[[#This Row],[Fecha]])</f>
        <v>2020</v>
      </c>
      <c r="J418" s="43" t="str">
        <f>TEXT(tbl_dashboard[[#This Row],[Fecha]],"mmmm")</f>
        <v>Abril</v>
      </c>
      <c r="K418" s="43">
        <f>WEEKNUM(tbl_dashboard[[#This Row],[Fecha]],2)</f>
        <v>17</v>
      </c>
    </row>
    <row r="419" spans="2:11" x14ac:dyDescent="0.2">
      <c r="B419" s="75">
        <v>43946</v>
      </c>
      <c r="C419" s="43" t="s">
        <v>188</v>
      </c>
      <c r="D419" s="43" t="s">
        <v>165</v>
      </c>
      <c r="E419" s="43" t="s">
        <v>166</v>
      </c>
      <c r="F419" s="43" t="s">
        <v>169</v>
      </c>
      <c r="G419" s="43">
        <v>10468</v>
      </c>
      <c r="H419" s="43">
        <v>2093.6</v>
      </c>
      <c r="I419" s="43">
        <f>YEAR(tbl_dashboard[[#This Row],[Fecha]])</f>
        <v>2020</v>
      </c>
      <c r="J419" s="43" t="str">
        <f>TEXT(tbl_dashboard[[#This Row],[Fecha]],"mmmm")</f>
        <v>Abril</v>
      </c>
      <c r="K419" s="43">
        <f>WEEKNUM(tbl_dashboard[[#This Row],[Fecha]],2)</f>
        <v>17</v>
      </c>
    </row>
    <row r="420" spans="2:11" x14ac:dyDescent="0.2">
      <c r="B420" s="75">
        <v>43945</v>
      </c>
      <c r="C420" s="43" t="s">
        <v>189</v>
      </c>
      <c r="D420" s="43" t="s">
        <v>165</v>
      </c>
      <c r="E420" s="43" t="s">
        <v>162</v>
      </c>
      <c r="F420" s="43" t="s">
        <v>169</v>
      </c>
      <c r="G420" s="43">
        <v>4110</v>
      </c>
      <c r="H420" s="43">
        <v>1356.3</v>
      </c>
      <c r="I420" s="43">
        <f>YEAR(tbl_dashboard[[#This Row],[Fecha]])</f>
        <v>2020</v>
      </c>
      <c r="J420" s="43" t="str">
        <f>TEXT(tbl_dashboard[[#This Row],[Fecha]],"mmmm")</f>
        <v>Abril</v>
      </c>
      <c r="K420" s="43">
        <f>WEEKNUM(tbl_dashboard[[#This Row],[Fecha]],2)</f>
        <v>17</v>
      </c>
    </row>
    <row r="421" spans="2:11" x14ac:dyDescent="0.2">
      <c r="B421" s="75">
        <v>43982</v>
      </c>
      <c r="C421" s="43" t="s">
        <v>160</v>
      </c>
      <c r="D421" s="43" t="s">
        <v>161</v>
      </c>
      <c r="E421" s="43" t="s">
        <v>162</v>
      </c>
      <c r="F421" s="43" t="s">
        <v>163</v>
      </c>
      <c r="G421" s="43">
        <v>9514</v>
      </c>
      <c r="H421" s="43">
        <v>1427.1</v>
      </c>
      <c r="I421" s="43">
        <f>YEAR(tbl_dashboard[[#This Row],[Fecha]])</f>
        <v>2020</v>
      </c>
      <c r="J421" s="43" t="str">
        <f>TEXT(tbl_dashboard[[#This Row],[Fecha]],"mmmm")</f>
        <v>Mayo</v>
      </c>
      <c r="K421" s="43">
        <f>WEEKNUM(tbl_dashboard[[#This Row],[Fecha]],2)</f>
        <v>22</v>
      </c>
    </row>
    <row r="422" spans="2:11" x14ac:dyDescent="0.2">
      <c r="B422" s="75">
        <v>43982</v>
      </c>
      <c r="C422" s="43" t="s">
        <v>164</v>
      </c>
      <c r="D422" s="43" t="s">
        <v>165</v>
      </c>
      <c r="E422" s="43" t="s">
        <v>166</v>
      </c>
      <c r="F422" s="43" t="s">
        <v>163</v>
      </c>
      <c r="G422" s="43">
        <v>8796</v>
      </c>
      <c r="H422" s="43">
        <v>3694.32</v>
      </c>
      <c r="I422" s="43">
        <f>YEAR(tbl_dashboard[[#This Row],[Fecha]])</f>
        <v>2020</v>
      </c>
      <c r="J422" s="43" t="str">
        <f>TEXT(tbl_dashboard[[#This Row],[Fecha]],"mmmm")</f>
        <v>Mayo</v>
      </c>
      <c r="K422" s="43">
        <f>WEEKNUM(tbl_dashboard[[#This Row],[Fecha]],2)</f>
        <v>22</v>
      </c>
    </row>
    <row r="423" spans="2:11" x14ac:dyDescent="0.2">
      <c r="B423" s="75">
        <v>43982</v>
      </c>
      <c r="C423" s="43" t="s">
        <v>167</v>
      </c>
      <c r="D423" s="43" t="s">
        <v>168</v>
      </c>
      <c r="E423" s="43" t="s">
        <v>166</v>
      </c>
      <c r="F423" s="43" t="s">
        <v>169</v>
      </c>
      <c r="G423" s="43">
        <v>6865</v>
      </c>
      <c r="H423" s="43">
        <v>1510.3</v>
      </c>
      <c r="I423" s="43">
        <f>YEAR(tbl_dashboard[[#This Row],[Fecha]])</f>
        <v>2020</v>
      </c>
      <c r="J423" s="43" t="str">
        <f>TEXT(tbl_dashboard[[#This Row],[Fecha]],"mmmm")</f>
        <v>Mayo</v>
      </c>
      <c r="K423" s="43">
        <f>WEEKNUM(tbl_dashboard[[#This Row],[Fecha]],2)</f>
        <v>22</v>
      </c>
    </row>
    <row r="424" spans="2:11" x14ac:dyDescent="0.2">
      <c r="B424" s="75">
        <v>43982</v>
      </c>
      <c r="C424" s="43" t="s">
        <v>170</v>
      </c>
      <c r="D424" s="43" t="s">
        <v>161</v>
      </c>
      <c r="E424" s="43" t="s">
        <v>162</v>
      </c>
      <c r="F424" s="43" t="s">
        <v>169</v>
      </c>
      <c r="G424" s="43">
        <v>1379</v>
      </c>
      <c r="H424" s="43">
        <v>262.01</v>
      </c>
      <c r="I424" s="43">
        <f>YEAR(tbl_dashboard[[#This Row],[Fecha]])</f>
        <v>2020</v>
      </c>
      <c r="J424" s="43" t="str">
        <f>TEXT(tbl_dashboard[[#This Row],[Fecha]],"mmmm")</f>
        <v>Mayo</v>
      </c>
      <c r="K424" s="43">
        <f>WEEKNUM(tbl_dashboard[[#This Row],[Fecha]],2)</f>
        <v>22</v>
      </c>
    </row>
    <row r="425" spans="2:11" x14ac:dyDescent="0.2">
      <c r="B425" s="75">
        <v>43982</v>
      </c>
      <c r="C425" s="43" t="s">
        <v>171</v>
      </c>
      <c r="D425" s="43" t="s">
        <v>165</v>
      </c>
      <c r="E425" s="43" t="s">
        <v>166</v>
      </c>
      <c r="F425" s="43" t="s">
        <v>163</v>
      </c>
      <c r="G425" s="43">
        <v>2857</v>
      </c>
      <c r="H425" s="43">
        <v>542.83000000000004</v>
      </c>
      <c r="I425" s="43">
        <f>YEAR(tbl_dashboard[[#This Row],[Fecha]])</f>
        <v>2020</v>
      </c>
      <c r="J425" s="43" t="str">
        <f>TEXT(tbl_dashboard[[#This Row],[Fecha]],"mmmm")</f>
        <v>Mayo</v>
      </c>
      <c r="K425" s="43">
        <f>WEEKNUM(tbl_dashboard[[#This Row],[Fecha]],2)</f>
        <v>22</v>
      </c>
    </row>
    <row r="426" spans="2:11" x14ac:dyDescent="0.2">
      <c r="B426" s="75">
        <v>43982</v>
      </c>
      <c r="C426" s="43" t="s">
        <v>172</v>
      </c>
      <c r="D426" s="43" t="s">
        <v>165</v>
      </c>
      <c r="E426" s="43" t="s">
        <v>166</v>
      </c>
      <c r="F426" s="43" t="s">
        <v>163</v>
      </c>
      <c r="G426" s="43">
        <v>9092</v>
      </c>
      <c r="H426" s="43">
        <v>3545.88</v>
      </c>
      <c r="I426" s="43">
        <f>YEAR(tbl_dashboard[[#This Row],[Fecha]])</f>
        <v>2020</v>
      </c>
      <c r="J426" s="43" t="str">
        <f>TEXT(tbl_dashboard[[#This Row],[Fecha]],"mmmm")</f>
        <v>Mayo</v>
      </c>
      <c r="K426" s="43">
        <f>WEEKNUM(tbl_dashboard[[#This Row],[Fecha]],2)</f>
        <v>22</v>
      </c>
    </row>
    <row r="427" spans="2:11" x14ac:dyDescent="0.2">
      <c r="B427" s="75">
        <v>43981</v>
      </c>
      <c r="C427" s="43" t="s">
        <v>173</v>
      </c>
      <c r="D427" s="43" t="s">
        <v>161</v>
      </c>
      <c r="E427" s="43" t="s">
        <v>166</v>
      </c>
      <c r="F427" s="43" t="s">
        <v>169</v>
      </c>
      <c r="G427" s="43">
        <v>4101</v>
      </c>
      <c r="H427" s="43">
        <v>1435.35</v>
      </c>
      <c r="I427" s="43">
        <f>YEAR(tbl_dashboard[[#This Row],[Fecha]])</f>
        <v>2020</v>
      </c>
      <c r="J427" s="43" t="str">
        <f>TEXT(tbl_dashboard[[#This Row],[Fecha]],"mmmm")</f>
        <v>Mayo</v>
      </c>
      <c r="K427" s="43">
        <f>WEEKNUM(tbl_dashboard[[#This Row],[Fecha]],2)</f>
        <v>22</v>
      </c>
    </row>
    <row r="428" spans="2:11" x14ac:dyDescent="0.2">
      <c r="B428" s="75">
        <v>43977</v>
      </c>
      <c r="C428" s="43" t="s">
        <v>174</v>
      </c>
      <c r="D428" s="43" t="s">
        <v>165</v>
      </c>
      <c r="E428" s="43" t="s">
        <v>166</v>
      </c>
      <c r="F428" s="43" t="s">
        <v>163</v>
      </c>
      <c r="G428" s="43">
        <v>7951</v>
      </c>
      <c r="H428" s="43">
        <v>2941.87</v>
      </c>
      <c r="I428" s="43">
        <f>YEAR(tbl_dashboard[[#This Row],[Fecha]])</f>
        <v>2020</v>
      </c>
      <c r="J428" s="43" t="str">
        <f>TEXT(tbl_dashboard[[#This Row],[Fecha]],"mmmm")</f>
        <v>Mayo</v>
      </c>
      <c r="K428" s="43">
        <f>WEEKNUM(tbl_dashboard[[#This Row],[Fecha]],2)</f>
        <v>22</v>
      </c>
    </row>
    <row r="429" spans="2:11" x14ac:dyDescent="0.2">
      <c r="B429" s="75">
        <v>43976</v>
      </c>
      <c r="C429" s="43" t="s">
        <v>175</v>
      </c>
      <c r="D429" s="43" t="s">
        <v>168</v>
      </c>
      <c r="E429" s="43" t="s">
        <v>166</v>
      </c>
      <c r="F429" s="43" t="s">
        <v>169</v>
      </c>
      <c r="G429" s="43">
        <v>4621</v>
      </c>
      <c r="H429" s="43">
        <v>1155.25</v>
      </c>
      <c r="I429" s="43">
        <f>YEAR(tbl_dashboard[[#This Row],[Fecha]])</f>
        <v>2020</v>
      </c>
      <c r="J429" s="43" t="str">
        <f>TEXT(tbl_dashboard[[#This Row],[Fecha]],"mmmm")</f>
        <v>Mayo</v>
      </c>
      <c r="K429" s="43">
        <f>WEEKNUM(tbl_dashboard[[#This Row],[Fecha]],2)</f>
        <v>22</v>
      </c>
    </row>
    <row r="430" spans="2:11" x14ac:dyDescent="0.2">
      <c r="B430" s="75">
        <v>43976</v>
      </c>
      <c r="C430" s="43" t="s">
        <v>176</v>
      </c>
      <c r="D430" s="43" t="s">
        <v>161</v>
      </c>
      <c r="E430" s="43" t="s">
        <v>166</v>
      </c>
      <c r="F430" s="43" t="s">
        <v>169</v>
      </c>
      <c r="G430" s="43">
        <v>6288</v>
      </c>
      <c r="H430" s="43">
        <v>2200.8000000000002</v>
      </c>
      <c r="I430" s="43">
        <f>YEAR(tbl_dashboard[[#This Row],[Fecha]])</f>
        <v>2020</v>
      </c>
      <c r="J430" s="43" t="str">
        <f>TEXT(tbl_dashboard[[#This Row],[Fecha]],"mmmm")</f>
        <v>Mayo</v>
      </c>
      <c r="K430" s="43">
        <f>WEEKNUM(tbl_dashboard[[#This Row],[Fecha]],2)</f>
        <v>22</v>
      </c>
    </row>
    <row r="431" spans="2:11" x14ac:dyDescent="0.2">
      <c r="B431" s="75">
        <v>43976</v>
      </c>
      <c r="C431" s="43" t="s">
        <v>177</v>
      </c>
      <c r="D431" s="43" t="s">
        <v>165</v>
      </c>
      <c r="E431" s="43" t="s">
        <v>162</v>
      </c>
      <c r="F431" s="43" t="s">
        <v>169</v>
      </c>
      <c r="G431" s="43">
        <v>9693</v>
      </c>
      <c r="H431" s="43">
        <v>3004.83</v>
      </c>
      <c r="I431" s="43">
        <f>YEAR(tbl_dashboard[[#This Row],[Fecha]])</f>
        <v>2020</v>
      </c>
      <c r="J431" s="43" t="str">
        <f>TEXT(tbl_dashboard[[#This Row],[Fecha]],"mmmm")</f>
        <v>Mayo</v>
      </c>
      <c r="K431" s="43">
        <f>WEEKNUM(tbl_dashboard[[#This Row],[Fecha]],2)</f>
        <v>22</v>
      </c>
    </row>
    <row r="432" spans="2:11" x14ac:dyDescent="0.2">
      <c r="B432" s="75">
        <v>43976</v>
      </c>
      <c r="C432" s="43" t="s">
        <v>178</v>
      </c>
      <c r="D432" s="43" t="s">
        <v>168</v>
      </c>
      <c r="E432" s="43" t="s">
        <v>162</v>
      </c>
      <c r="F432" s="43" t="s">
        <v>169</v>
      </c>
      <c r="G432" s="43">
        <v>9220</v>
      </c>
      <c r="H432" s="43">
        <v>2489.4</v>
      </c>
      <c r="I432" s="43">
        <f>YEAR(tbl_dashboard[[#This Row],[Fecha]])</f>
        <v>2020</v>
      </c>
      <c r="J432" s="43" t="str">
        <f>TEXT(tbl_dashboard[[#This Row],[Fecha]],"mmmm")</f>
        <v>Mayo</v>
      </c>
      <c r="K432" s="43">
        <f>WEEKNUM(tbl_dashboard[[#This Row],[Fecha]],2)</f>
        <v>22</v>
      </c>
    </row>
    <row r="433" spans="2:11" x14ac:dyDescent="0.2">
      <c r="B433" s="75">
        <v>43975</v>
      </c>
      <c r="C433" s="43" t="s">
        <v>179</v>
      </c>
      <c r="D433" s="43" t="s">
        <v>168</v>
      </c>
      <c r="E433" s="43" t="s">
        <v>166</v>
      </c>
      <c r="F433" s="43" t="s">
        <v>169</v>
      </c>
      <c r="G433" s="43">
        <v>2309</v>
      </c>
      <c r="H433" s="43">
        <v>969.78</v>
      </c>
      <c r="I433" s="43">
        <f>YEAR(tbl_dashboard[[#This Row],[Fecha]])</f>
        <v>2020</v>
      </c>
      <c r="J433" s="43" t="str">
        <f>TEXT(tbl_dashboard[[#This Row],[Fecha]],"mmmm")</f>
        <v>Mayo</v>
      </c>
      <c r="K433" s="43">
        <f>WEEKNUM(tbl_dashboard[[#This Row],[Fecha]],2)</f>
        <v>21</v>
      </c>
    </row>
    <row r="434" spans="2:11" x14ac:dyDescent="0.2">
      <c r="B434" s="75">
        <v>44012</v>
      </c>
      <c r="C434" s="43" t="s">
        <v>160</v>
      </c>
      <c r="D434" s="43" t="s">
        <v>165</v>
      </c>
      <c r="E434" s="43" t="s">
        <v>162</v>
      </c>
      <c r="F434" s="43" t="s">
        <v>163</v>
      </c>
      <c r="G434" s="43">
        <v>8311</v>
      </c>
      <c r="H434" s="43">
        <v>2327.08</v>
      </c>
      <c r="I434" s="43">
        <f>YEAR(tbl_dashboard[[#This Row],[Fecha]])</f>
        <v>2020</v>
      </c>
      <c r="J434" s="43" t="str">
        <f>TEXT(tbl_dashboard[[#This Row],[Fecha]],"mmmm")</f>
        <v>Junio</v>
      </c>
      <c r="K434" s="43">
        <f>WEEKNUM(tbl_dashboard[[#This Row],[Fecha]],2)</f>
        <v>27</v>
      </c>
    </row>
    <row r="435" spans="2:11" x14ac:dyDescent="0.2">
      <c r="B435" s="75">
        <v>44012</v>
      </c>
      <c r="C435" s="43" t="s">
        <v>164</v>
      </c>
      <c r="D435" s="43" t="s">
        <v>165</v>
      </c>
      <c r="E435" s="43" t="s">
        <v>162</v>
      </c>
      <c r="F435" s="43" t="s">
        <v>163</v>
      </c>
      <c r="G435" s="43">
        <v>7846</v>
      </c>
      <c r="H435" s="43">
        <v>3295.32</v>
      </c>
      <c r="I435" s="43">
        <f>YEAR(tbl_dashboard[[#This Row],[Fecha]])</f>
        <v>2020</v>
      </c>
      <c r="J435" s="43" t="str">
        <f>TEXT(tbl_dashboard[[#This Row],[Fecha]],"mmmm")</f>
        <v>Junio</v>
      </c>
      <c r="K435" s="43">
        <f>WEEKNUM(tbl_dashboard[[#This Row],[Fecha]],2)</f>
        <v>27</v>
      </c>
    </row>
    <row r="436" spans="2:11" x14ac:dyDescent="0.2">
      <c r="B436" s="75">
        <v>44012</v>
      </c>
      <c r="C436" s="43" t="s">
        <v>167</v>
      </c>
      <c r="D436" s="43" t="s">
        <v>165</v>
      </c>
      <c r="E436" s="43" t="s">
        <v>162</v>
      </c>
      <c r="F436" s="43" t="s">
        <v>169</v>
      </c>
      <c r="G436" s="43">
        <v>4241</v>
      </c>
      <c r="H436" s="43">
        <v>1484.35</v>
      </c>
      <c r="I436" s="43">
        <f>YEAR(tbl_dashboard[[#This Row],[Fecha]])</f>
        <v>2020</v>
      </c>
      <c r="J436" s="43" t="str">
        <f>TEXT(tbl_dashboard[[#This Row],[Fecha]],"mmmm")</f>
        <v>Junio</v>
      </c>
      <c r="K436" s="43">
        <f>WEEKNUM(tbl_dashboard[[#This Row],[Fecha]],2)</f>
        <v>27</v>
      </c>
    </row>
    <row r="437" spans="2:11" x14ac:dyDescent="0.2">
      <c r="B437" s="75">
        <v>44012</v>
      </c>
      <c r="C437" s="43" t="s">
        <v>170</v>
      </c>
      <c r="D437" s="43" t="s">
        <v>161</v>
      </c>
      <c r="E437" s="43" t="s">
        <v>166</v>
      </c>
      <c r="F437" s="43" t="s">
        <v>169</v>
      </c>
      <c r="G437" s="43">
        <v>1981</v>
      </c>
      <c r="H437" s="43">
        <v>812.21</v>
      </c>
      <c r="I437" s="43">
        <f>YEAR(tbl_dashboard[[#This Row],[Fecha]])</f>
        <v>2020</v>
      </c>
      <c r="J437" s="43" t="str">
        <f>TEXT(tbl_dashboard[[#This Row],[Fecha]],"mmmm")</f>
        <v>Junio</v>
      </c>
      <c r="K437" s="43">
        <f>WEEKNUM(tbl_dashboard[[#This Row],[Fecha]],2)</f>
        <v>27</v>
      </c>
    </row>
    <row r="438" spans="2:11" x14ac:dyDescent="0.2">
      <c r="B438" s="75">
        <v>44012</v>
      </c>
      <c r="C438" s="43" t="s">
        <v>171</v>
      </c>
      <c r="D438" s="43" t="s">
        <v>161</v>
      </c>
      <c r="E438" s="43" t="s">
        <v>162</v>
      </c>
      <c r="F438" s="43" t="s">
        <v>163</v>
      </c>
      <c r="G438" s="43">
        <v>3910</v>
      </c>
      <c r="H438" s="43">
        <v>1016.6</v>
      </c>
      <c r="I438" s="43">
        <f>YEAR(tbl_dashboard[[#This Row],[Fecha]])</f>
        <v>2020</v>
      </c>
      <c r="J438" s="43" t="str">
        <f>TEXT(tbl_dashboard[[#This Row],[Fecha]],"mmmm")</f>
        <v>Junio</v>
      </c>
      <c r="K438" s="43">
        <f>WEEKNUM(tbl_dashboard[[#This Row],[Fecha]],2)</f>
        <v>27</v>
      </c>
    </row>
    <row r="439" spans="2:11" x14ac:dyDescent="0.2">
      <c r="B439" s="75">
        <v>44012</v>
      </c>
      <c r="C439" s="43" t="s">
        <v>172</v>
      </c>
      <c r="D439" s="43" t="s">
        <v>165</v>
      </c>
      <c r="E439" s="43" t="s">
        <v>162</v>
      </c>
      <c r="F439" s="43" t="s">
        <v>163</v>
      </c>
      <c r="G439" s="43">
        <v>2400</v>
      </c>
      <c r="H439" s="43">
        <v>360</v>
      </c>
      <c r="I439" s="43">
        <f>YEAR(tbl_dashboard[[#This Row],[Fecha]])</f>
        <v>2020</v>
      </c>
      <c r="J439" s="43" t="str">
        <f>TEXT(tbl_dashboard[[#This Row],[Fecha]],"mmmm")</f>
        <v>Junio</v>
      </c>
      <c r="K439" s="43">
        <f>WEEKNUM(tbl_dashboard[[#This Row],[Fecha]],2)</f>
        <v>27</v>
      </c>
    </row>
    <row r="440" spans="2:11" x14ac:dyDescent="0.2">
      <c r="B440" s="75">
        <v>44012</v>
      </c>
      <c r="C440" s="43" t="s">
        <v>173</v>
      </c>
      <c r="D440" s="43" t="s">
        <v>168</v>
      </c>
      <c r="E440" s="43" t="s">
        <v>166</v>
      </c>
      <c r="F440" s="43" t="s">
        <v>169</v>
      </c>
      <c r="G440" s="43">
        <v>1269</v>
      </c>
      <c r="H440" s="43">
        <v>304.56</v>
      </c>
      <c r="I440" s="43">
        <f>YEAR(tbl_dashboard[[#This Row],[Fecha]])</f>
        <v>2020</v>
      </c>
      <c r="J440" s="43" t="str">
        <f>TEXT(tbl_dashboard[[#This Row],[Fecha]],"mmmm")</f>
        <v>Junio</v>
      </c>
      <c r="K440" s="43">
        <f>WEEKNUM(tbl_dashboard[[#This Row],[Fecha]],2)</f>
        <v>27</v>
      </c>
    </row>
    <row r="441" spans="2:11" x14ac:dyDescent="0.2">
      <c r="B441" s="75">
        <v>44008</v>
      </c>
      <c r="C441" s="43" t="s">
        <v>174</v>
      </c>
      <c r="D441" s="43" t="s">
        <v>168</v>
      </c>
      <c r="E441" s="43" t="s">
        <v>162</v>
      </c>
      <c r="F441" s="43" t="s">
        <v>163</v>
      </c>
      <c r="G441" s="43">
        <v>11308</v>
      </c>
      <c r="H441" s="43">
        <v>2600.84</v>
      </c>
      <c r="I441" s="43">
        <f>YEAR(tbl_dashboard[[#This Row],[Fecha]])</f>
        <v>2020</v>
      </c>
      <c r="J441" s="43" t="str">
        <f>TEXT(tbl_dashboard[[#This Row],[Fecha]],"mmmm")</f>
        <v>Junio</v>
      </c>
      <c r="K441" s="43">
        <f>WEEKNUM(tbl_dashboard[[#This Row],[Fecha]],2)</f>
        <v>26</v>
      </c>
    </row>
    <row r="442" spans="2:11" x14ac:dyDescent="0.2">
      <c r="B442" s="75">
        <v>44007</v>
      </c>
      <c r="C442" s="43" t="s">
        <v>175</v>
      </c>
      <c r="D442" s="43" t="s">
        <v>165</v>
      </c>
      <c r="E442" s="43" t="s">
        <v>166</v>
      </c>
      <c r="F442" s="43" t="s">
        <v>169</v>
      </c>
      <c r="G442" s="43">
        <v>7912</v>
      </c>
      <c r="H442" s="43">
        <v>3402.16</v>
      </c>
      <c r="I442" s="43">
        <f>YEAR(tbl_dashboard[[#This Row],[Fecha]])</f>
        <v>2020</v>
      </c>
      <c r="J442" s="43" t="str">
        <f>TEXT(tbl_dashboard[[#This Row],[Fecha]],"mmmm")</f>
        <v>Junio</v>
      </c>
      <c r="K442" s="43">
        <f>WEEKNUM(tbl_dashboard[[#This Row],[Fecha]],2)</f>
        <v>26</v>
      </c>
    </row>
    <row r="443" spans="2:11" x14ac:dyDescent="0.2">
      <c r="B443" s="75">
        <v>44007</v>
      </c>
      <c r="C443" s="43" t="s">
        <v>176</v>
      </c>
      <c r="D443" s="43" t="s">
        <v>165</v>
      </c>
      <c r="E443" s="43" t="s">
        <v>166</v>
      </c>
      <c r="F443" s="43" t="s">
        <v>169</v>
      </c>
      <c r="G443" s="43">
        <v>6983</v>
      </c>
      <c r="H443" s="43">
        <v>1396.6</v>
      </c>
      <c r="I443" s="43">
        <f>YEAR(tbl_dashboard[[#This Row],[Fecha]])</f>
        <v>2020</v>
      </c>
      <c r="J443" s="43" t="str">
        <f>TEXT(tbl_dashboard[[#This Row],[Fecha]],"mmmm")</f>
        <v>Junio</v>
      </c>
      <c r="K443" s="43">
        <f>WEEKNUM(tbl_dashboard[[#This Row],[Fecha]],2)</f>
        <v>26</v>
      </c>
    </row>
    <row r="444" spans="2:11" x14ac:dyDescent="0.2">
      <c r="B444" s="75">
        <v>44007</v>
      </c>
      <c r="C444" s="43" t="s">
        <v>177</v>
      </c>
      <c r="D444" s="43" t="s">
        <v>165</v>
      </c>
      <c r="E444" s="43" t="s">
        <v>166</v>
      </c>
      <c r="F444" s="43" t="s">
        <v>169</v>
      </c>
      <c r="G444" s="43">
        <v>7088</v>
      </c>
      <c r="H444" s="43">
        <v>3047.84</v>
      </c>
      <c r="I444" s="43">
        <f>YEAR(tbl_dashboard[[#This Row],[Fecha]])</f>
        <v>2020</v>
      </c>
      <c r="J444" s="43" t="str">
        <f>TEXT(tbl_dashboard[[#This Row],[Fecha]],"mmmm")</f>
        <v>Junio</v>
      </c>
      <c r="K444" s="43">
        <f>WEEKNUM(tbl_dashboard[[#This Row],[Fecha]],2)</f>
        <v>26</v>
      </c>
    </row>
    <row r="445" spans="2:11" x14ac:dyDescent="0.2">
      <c r="B445" s="75">
        <v>44007</v>
      </c>
      <c r="C445" s="43" t="s">
        <v>178</v>
      </c>
      <c r="D445" s="43" t="s">
        <v>161</v>
      </c>
      <c r="E445" s="43" t="s">
        <v>162</v>
      </c>
      <c r="F445" s="43" t="s">
        <v>169</v>
      </c>
      <c r="G445" s="43">
        <v>9803</v>
      </c>
      <c r="H445" s="43">
        <v>3921.2</v>
      </c>
      <c r="I445" s="43">
        <f>YEAR(tbl_dashboard[[#This Row],[Fecha]])</f>
        <v>2020</v>
      </c>
      <c r="J445" s="43" t="str">
        <f>TEXT(tbl_dashboard[[#This Row],[Fecha]],"mmmm")</f>
        <v>Junio</v>
      </c>
      <c r="K445" s="43">
        <f>WEEKNUM(tbl_dashboard[[#This Row],[Fecha]],2)</f>
        <v>26</v>
      </c>
    </row>
    <row r="446" spans="2:11" x14ac:dyDescent="0.2">
      <c r="B446" s="75">
        <v>44006</v>
      </c>
      <c r="C446" s="43" t="s">
        <v>179</v>
      </c>
      <c r="D446" s="43" t="s">
        <v>165</v>
      </c>
      <c r="E446" s="43" t="s">
        <v>166</v>
      </c>
      <c r="F446" s="43" t="s">
        <v>169</v>
      </c>
      <c r="G446" s="43">
        <v>2256</v>
      </c>
      <c r="H446" s="43">
        <v>518.88</v>
      </c>
      <c r="I446" s="43">
        <f>YEAR(tbl_dashboard[[#This Row],[Fecha]])</f>
        <v>2020</v>
      </c>
      <c r="J446" s="43" t="str">
        <f>TEXT(tbl_dashboard[[#This Row],[Fecha]],"mmmm")</f>
        <v>Junio</v>
      </c>
      <c r="K446" s="43">
        <f>WEEKNUM(tbl_dashboard[[#This Row],[Fecha]],2)</f>
        <v>26</v>
      </c>
    </row>
    <row r="447" spans="2:11" x14ac:dyDescent="0.2">
      <c r="B447" s="75">
        <v>44006</v>
      </c>
      <c r="C447" s="43" t="s">
        <v>180</v>
      </c>
      <c r="D447" s="43" t="s">
        <v>165</v>
      </c>
      <c r="E447" s="43" t="s">
        <v>162</v>
      </c>
      <c r="F447" s="43" t="s">
        <v>163</v>
      </c>
      <c r="G447" s="43">
        <v>6339</v>
      </c>
      <c r="H447" s="43">
        <v>1965.09</v>
      </c>
      <c r="I447" s="43">
        <f>YEAR(tbl_dashboard[[#This Row],[Fecha]])</f>
        <v>2020</v>
      </c>
      <c r="J447" s="43" t="str">
        <f>TEXT(tbl_dashboard[[#This Row],[Fecha]],"mmmm")</f>
        <v>Junio</v>
      </c>
      <c r="K447" s="43">
        <f>WEEKNUM(tbl_dashboard[[#This Row],[Fecha]],2)</f>
        <v>26</v>
      </c>
    </row>
    <row r="448" spans="2:11" x14ac:dyDescent="0.2">
      <c r="B448" s="75">
        <v>44006</v>
      </c>
      <c r="C448" s="43" t="s">
        <v>181</v>
      </c>
      <c r="D448" s="43" t="s">
        <v>168</v>
      </c>
      <c r="E448" s="43" t="s">
        <v>162</v>
      </c>
      <c r="F448" s="43" t="s">
        <v>163</v>
      </c>
      <c r="G448" s="43">
        <v>9282</v>
      </c>
      <c r="H448" s="43">
        <v>1485.12</v>
      </c>
      <c r="I448" s="43">
        <f>YEAR(tbl_dashboard[[#This Row],[Fecha]])</f>
        <v>2020</v>
      </c>
      <c r="J448" s="43" t="str">
        <f>TEXT(tbl_dashboard[[#This Row],[Fecha]],"mmmm")</f>
        <v>Junio</v>
      </c>
      <c r="K448" s="43">
        <f>WEEKNUM(tbl_dashboard[[#This Row],[Fecha]],2)</f>
        <v>26</v>
      </c>
    </row>
    <row r="449" spans="2:11" x14ac:dyDescent="0.2">
      <c r="B449" s="75">
        <v>44043</v>
      </c>
      <c r="C449" s="43" t="s">
        <v>160</v>
      </c>
      <c r="D449" s="43" t="s">
        <v>165</v>
      </c>
      <c r="E449" s="43" t="s">
        <v>162</v>
      </c>
      <c r="F449" s="43" t="s">
        <v>169</v>
      </c>
      <c r="G449" s="43">
        <v>9405</v>
      </c>
      <c r="H449" s="43">
        <v>3291.75</v>
      </c>
      <c r="I449" s="43">
        <f>YEAR(tbl_dashboard[[#This Row],[Fecha]])</f>
        <v>2020</v>
      </c>
      <c r="J449" s="43" t="str">
        <f>TEXT(tbl_dashboard[[#This Row],[Fecha]],"mmmm")</f>
        <v>Julio</v>
      </c>
      <c r="K449" s="43">
        <f>WEEKNUM(tbl_dashboard[[#This Row],[Fecha]],2)</f>
        <v>31</v>
      </c>
    </row>
    <row r="450" spans="2:11" x14ac:dyDescent="0.2">
      <c r="B450" s="75">
        <v>44043</v>
      </c>
      <c r="C450" s="43" t="s">
        <v>164</v>
      </c>
      <c r="D450" s="43" t="s">
        <v>161</v>
      </c>
      <c r="E450" s="43" t="s">
        <v>162</v>
      </c>
      <c r="F450" s="43" t="s">
        <v>169</v>
      </c>
      <c r="G450" s="43">
        <v>2132</v>
      </c>
      <c r="H450" s="43">
        <v>746.2</v>
      </c>
      <c r="I450" s="43">
        <f>YEAR(tbl_dashboard[[#This Row],[Fecha]])</f>
        <v>2020</v>
      </c>
      <c r="J450" s="43" t="str">
        <f>TEXT(tbl_dashboard[[#This Row],[Fecha]],"mmmm")</f>
        <v>Julio</v>
      </c>
      <c r="K450" s="43">
        <f>WEEKNUM(tbl_dashboard[[#This Row],[Fecha]],2)</f>
        <v>31</v>
      </c>
    </row>
    <row r="451" spans="2:11" x14ac:dyDescent="0.2">
      <c r="B451" s="75">
        <v>44043</v>
      </c>
      <c r="C451" s="43" t="s">
        <v>167</v>
      </c>
      <c r="D451" s="43" t="s">
        <v>161</v>
      </c>
      <c r="E451" s="43" t="s">
        <v>166</v>
      </c>
      <c r="F451" s="43" t="s">
        <v>163</v>
      </c>
      <c r="G451" s="43">
        <v>2169</v>
      </c>
      <c r="H451" s="43">
        <v>759.15</v>
      </c>
      <c r="I451" s="43">
        <f>YEAR(tbl_dashboard[[#This Row],[Fecha]])</f>
        <v>2020</v>
      </c>
      <c r="J451" s="43" t="str">
        <f>TEXT(tbl_dashboard[[#This Row],[Fecha]],"mmmm")</f>
        <v>Julio</v>
      </c>
      <c r="K451" s="43">
        <f>WEEKNUM(tbl_dashboard[[#This Row],[Fecha]],2)</f>
        <v>31</v>
      </c>
    </row>
    <row r="452" spans="2:11" x14ac:dyDescent="0.2">
      <c r="B452" s="75">
        <v>44043</v>
      </c>
      <c r="C452" s="43" t="s">
        <v>170</v>
      </c>
      <c r="D452" s="43" t="s">
        <v>161</v>
      </c>
      <c r="E452" s="43" t="s">
        <v>162</v>
      </c>
      <c r="F452" s="43" t="s">
        <v>163</v>
      </c>
      <c r="G452" s="43">
        <v>4280</v>
      </c>
      <c r="H452" s="43">
        <v>642</v>
      </c>
      <c r="I452" s="43">
        <f>YEAR(tbl_dashboard[[#This Row],[Fecha]])</f>
        <v>2020</v>
      </c>
      <c r="J452" s="43" t="str">
        <f>TEXT(tbl_dashboard[[#This Row],[Fecha]],"mmmm")</f>
        <v>Julio</v>
      </c>
      <c r="K452" s="43">
        <f>WEEKNUM(tbl_dashboard[[#This Row],[Fecha]],2)</f>
        <v>31</v>
      </c>
    </row>
    <row r="453" spans="2:11" x14ac:dyDescent="0.2">
      <c r="B453" s="75">
        <v>44042</v>
      </c>
      <c r="C453" s="43" t="s">
        <v>171</v>
      </c>
      <c r="D453" s="43" t="s">
        <v>168</v>
      </c>
      <c r="E453" s="43" t="s">
        <v>166</v>
      </c>
      <c r="F453" s="43" t="s">
        <v>169</v>
      </c>
      <c r="G453" s="43">
        <v>2224</v>
      </c>
      <c r="H453" s="43">
        <v>378.08</v>
      </c>
      <c r="I453" s="43">
        <f>YEAR(tbl_dashboard[[#This Row],[Fecha]])</f>
        <v>2020</v>
      </c>
      <c r="J453" s="43" t="str">
        <f>TEXT(tbl_dashboard[[#This Row],[Fecha]],"mmmm")</f>
        <v>Julio</v>
      </c>
      <c r="K453" s="43">
        <f>WEEKNUM(tbl_dashboard[[#This Row],[Fecha]],2)</f>
        <v>31</v>
      </c>
    </row>
    <row r="454" spans="2:11" x14ac:dyDescent="0.2">
      <c r="B454" s="75">
        <v>44038</v>
      </c>
      <c r="C454" s="43" t="s">
        <v>172</v>
      </c>
      <c r="D454" s="43" t="s">
        <v>161</v>
      </c>
      <c r="E454" s="43" t="s">
        <v>166</v>
      </c>
      <c r="F454" s="43" t="s">
        <v>163</v>
      </c>
      <c r="G454" s="43">
        <v>2169</v>
      </c>
      <c r="H454" s="43">
        <v>433.8</v>
      </c>
      <c r="I454" s="43">
        <f>YEAR(tbl_dashboard[[#This Row],[Fecha]])</f>
        <v>2020</v>
      </c>
      <c r="J454" s="43" t="str">
        <f>TEXT(tbl_dashboard[[#This Row],[Fecha]],"mmmm")</f>
        <v>Julio</v>
      </c>
      <c r="K454" s="43">
        <f>WEEKNUM(tbl_dashboard[[#This Row],[Fecha]],2)</f>
        <v>30</v>
      </c>
    </row>
    <row r="455" spans="2:11" x14ac:dyDescent="0.2">
      <c r="B455" s="75">
        <v>44037</v>
      </c>
      <c r="C455" s="43" t="s">
        <v>173</v>
      </c>
      <c r="D455" s="43" t="s">
        <v>161</v>
      </c>
      <c r="E455" s="43" t="s">
        <v>162</v>
      </c>
      <c r="F455" s="43" t="s">
        <v>169</v>
      </c>
      <c r="G455" s="43">
        <v>8720</v>
      </c>
      <c r="H455" s="43">
        <v>1569.6</v>
      </c>
      <c r="I455" s="43">
        <f>YEAR(tbl_dashboard[[#This Row],[Fecha]])</f>
        <v>2020</v>
      </c>
      <c r="J455" s="43" t="str">
        <f>TEXT(tbl_dashboard[[#This Row],[Fecha]],"mmmm")</f>
        <v>Julio</v>
      </c>
      <c r="K455" s="43">
        <f>WEEKNUM(tbl_dashboard[[#This Row],[Fecha]],2)</f>
        <v>30</v>
      </c>
    </row>
    <row r="456" spans="2:11" x14ac:dyDescent="0.2">
      <c r="B456" s="75">
        <v>44037</v>
      </c>
      <c r="C456" s="43" t="s">
        <v>174</v>
      </c>
      <c r="D456" s="43" t="s">
        <v>168</v>
      </c>
      <c r="E456" s="43" t="s">
        <v>162</v>
      </c>
      <c r="F456" s="43" t="s">
        <v>169</v>
      </c>
      <c r="G456" s="43">
        <v>9393</v>
      </c>
      <c r="H456" s="43">
        <v>2442.1799999999998</v>
      </c>
      <c r="I456" s="43">
        <f>YEAR(tbl_dashboard[[#This Row],[Fecha]])</f>
        <v>2020</v>
      </c>
      <c r="J456" s="43" t="str">
        <f>TEXT(tbl_dashboard[[#This Row],[Fecha]],"mmmm")</f>
        <v>Julio</v>
      </c>
      <c r="K456" s="43">
        <f>WEEKNUM(tbl_dashboard[[#This Row],[Fecha]],2)</f>
        <v>30</v>
      </c>
    </row>
    <row r="457" spans="2:11" x14ac:dyDescent="0.2">
      <c r="B457" s="75">
        <v>44037</v>
      </c>
      <c r="C457" s="43" t="s">
        <v>175</v>
      </c>
      <c r="D457" s="43" t="s">
        <v>161</v>
      </c>
      <c r="E457" s="43" t="s">
        <v>162</v>
      </c>
      <c r="F457" s="43" t="s">
        <v>169</v>
      </c>
      <c r="G457" s="43">
        <v>7576</v>
      </c>
      <c r="H457" s="43">
        <v>2803.12</v>
      </c>
      <c r="I457" s="43">
        <f>YEAR(tbl_dashboard[[#This Row],[Fecha]])</f>
        <v>2020</v>
      </c>
      <c r="J457" s="43" t="str">
        <f>TEXT(tbl_dashboard[[#This Row],[Fecha]],"mmmm")</f>
        <v>Julio</v>
      </c>
      <c r="K457" s="43">
        <f>WEEKNUM(tbl_dashboard[[#This Row],[Fecha]],2)</f>
        <v>30</v>
      </c>
    </row>
    <row r="458" spans="2:11" x14ac:dyDescent="0.2">
      <c r="B458" s="75">
        <v>44037</v>
      </c>
      <c r="C458" s="43" t="s">
        <v>176</v>
      </c>
      <c r="D458" s="43" t="s">
        <v>168</v>
      </c>
      <c r="E458" s="43" t="s">
        <v>166</v>
      </c>
      <c r="F458" s="43" t="s">
        <v>169</v>
      </c>
      <c r="G458" s="43">
        <v>3557</v>
      </c>
      <c r="H458" s="43">
        <v>1138.24</v>
      </c>
      <c r="I458" s="43">
        <f>YEAR(tbl_dashboard[[#This Row],[Fecha]])</f>
        <v>2020</v>
      </c>
      <c r="J458" s="43" t="str">
        <f>TEXT(tbl_dashboard[[#This Row],[Fecha]],"mmmm")</f>
        <v>Julio</v>
      </c>
      <c r="K458" s="43">
        <f>WEEKNUM(tbl_dashboard[[#This Row],[Fecha]],2)</f>
        <v>30</v>
      </c>
    </row>
    <row r="459" spans="2:11" x14ac:dyDescent="0.2">
      <c r="B459" s="75">
        <v>44036</v>
      </c>
      <c r="C459" s="43" t="s">
        <v>177</v>
      </c>
      <c r="D459" s="43" t="s">
        <v>168</v>
      </c>
      <c r="E459" s="43" t="s">
        <v>162</v>
      </c>
      <c r="F459" s="43" t="s">
        <v>169</v>
      </c>
      <c r="G459" s="43">
        <v>11855</v>
      </c>
      <c r="H459" s="43">
        <v>4623.45</v>
      </c>
      <c r="I459" s="43">
        <f>YEAR(tbl_dashboard[[#This Row],[Fecha]])</f>
        <v>2020</v>
      </c>
      <c r="J459" s="43" t="str">
        <f>TEXT(tbl_dashboard[[#This Row],[Fecha]],"mmmm")</f>
        <v>Julio</v>
      </c>
      <c r="K459" s="43">
        <f>WEEKNUM(tbl_dashboard[[#This Row],[Fecha]],2)</f>
        <v>30</v>
      </c>
    </row>
    <row r="460" spans="2:11" x14ac:dyDescent="0.2">
      <c r="B460" s="75">
        <v>44042</v>
      </c>
      <c r="C460" s="43" t="s">
        <v>178</v>
      </c>
      <c r="D460" s="43" t="s">
        <v>168</v>
      </c>
      <c r="E460" s="43" t="s">
        <v>162</v>
      </c>
      <c r="F460" s="43" t="s">
        <v>163</v>
      </c>
      <c r="G460" s="43">
        <v>9193</v>
      </c>
      <c r="H460" s="43">
        <v>3677.2</v>
      </c>
      <c r="I460" s="43">
        <f>YEAR(tbl_dashboard[[#This Row],[Fecha]])</f>
        <v>2020</v>
      </c>
      <c r="J460" s="43" t="str">
        <f>TEXT(tbl_dashboard[[#This Row],[Fecha]],"mmmm")</f>
        <v>Julio</v>
      </c>
      <c r="K460" s="43">
        <f>WEEKNUM(tbl_dashboard[[#This Row],[Fecha]],2)</f>
        <v>31</v>
      </c>
    </row>
    <row r="461" spans="2:11" x14ac:dyDescent="0.2">
      <c r="B461" s="75">
        <v>44042</v>
      </c>
      <c r="C461" s="43" t="s">
        <v>179</v>
      </c>
      <c r="D461" s="43" t="s">
        <v>168</v>
      </c>
      <c r="E461" s="43" t="s">
        <v>166</v>
      </c>
      <c r="F461" s="43" t="s">
        <v>163</v>
      </c>
      <c r="G461" s="43">
        <v>4358</v>
      </c>
      <c r="H461" s="43">
        <v>1612.46</v>
      </c>
      <c r="I461" s="43">
        <f>YEAR(tbl_dashboard[[#This Row],[Fecha]])</f>
        <v>2020</v>
      </c>
      <c r="J461" s="43" t="str">
        <f>TEXT(tbl_dashboard[[#This Row],[Fecha]],"mmmm")</f>
        <v>Julio</v>
      </c>
      <c r="K461" s="43">
        <f>WEEKNUM(tbl_dashboard[[#This Row],[Fecha]],2)</f>
        <v>31</v>
      </c>
    </row>
    <row r="462" spans="2:11" x14ac:dyDescent="0.2">
      <c r="B462" s="75">
        <v>44042</v>
      </c>
      <c r="C462" s="43" t="s">
        <v>180</v>
      </c>
      <c r="D462" s="43" t="s">
        <v>165</v>
      </c>
      <c r="E462" s="43" t="s">
        <v>162</v>
      </c>
      <c r="F462" s="43" t="s">
        <v>169</v>
      </c>
      <c r="G462" s="43">
        <v>5418</v>
      </c>
      <c r="H462" s="43">
        <v>2113.02</v>
      </c>
      <c r="I462" s="43">
        <f>YEAR(tbl_dashboard[[#This Row],[Fecha]])</f>
        <v>2020</v>
      </c>
      <c r="J462" s="43" t="str">
        <f>TEXT(tbl_dashboard[[#This Row],[Fecha]],"mmmm")</f>
        <v>Julio</v>
      </c>
      <c r="K462" s="43">
        <f>WEEKNUM(tbl_dashboard[[#This Row],[Fecha]],2)</f>
        <v>31</v>
      </c>
    </row>
    <row r="463" spans="2:11" x14ac:dyDescent="0.2">
      <c r="B463" s="75">
        <v>44042</v>
      </c>
      <c r="C463" s="43" t="s">
        <v>181</v>
      </c>
      <c r="D463" s="43" t="s">
        <v>168</v>
      </c>
      <c r="E463" s="43" t="s">
        <v>166</v>
      </c>
      <c r="F463" s="43" t="s">
        <v>169</v>
      </c>
      <c r="G463" s="43">
        <v>4975</v>
      </c>
      <c r="H463" s="43">
        <v>2189</v>
      </c>
      <c r="I463" s="43">
        <f>YEAR(tbl_dashboard[[#This Row],[Fecha]])</f>
        <v>2020</v>
      </c>
      <c r="J463" s="43" t="str">
        <f>TEXT(tbl_dashboard[[#This Row],[Fecha]],"mmmm")</f>
        <v>Julio</v>
      </c>
      <c r="K463" s="43">
        <f>WEEKNUM(tbl_dashboard[[#This Row],[Fecha]],2)</f>
        <v>31</v>
      </c>
    </row>
    <row r="464" spans="2:11" x14ac:dyDescent="0.2">
      <c r="B464" s="75">
        <v>44042</v>
      </c>
      <c r="C464" s="43" t="s">
        <v>182</v>
      </c>
      <c r="D464" s="43" t="s">
        <v>161</v>
      </c>
      <c r="E464" s="43" t="s">
        <v>166</v>
      </c>
      <c r="F464" s="43" t="s">
        <v>163</v>
      </c>
      <c r="G464" s="43">
        <v>7984</v>
      </c>
      <c r="H464" s="43">
        <v>1916.16</v>
      </c>
      <c r="I464" s="43">
        <f>YEAR(tbl_dashboard[[#This Row],[Fecha]])</f>
        <v>2020</v>
      </c>
      <c r="J464" s="43" t="str">
        <f>TEXT(tbl_dashboard[[#This Row],[Fecha]],"mmmm")</f>
        <v>Julio</v>
      </c>
      <c r="K464" s="43">
        <f>WEEKNUM(tbl_dashboard[[#This Row],[Fecha]],2)</f>
        <v>31</v>
      </c>
    </row>
    <row r="465" spans="2:11" x14ac:dyDescent="0.2">
      <c r="B465" s="75">
        <v>44042</v>
      </c>
      <c r="C465" s="43" t="s">
        <v>183</v>
      </c>
      <c r="D465" s="43" t="s">
        <v>165</v>
      </c>
      <c r="E465" s="43" t="s">
        <v>166</v>
      </c>
      <c r="F465" s="43" t="s">
        <v>163</v>
      </c>
      <c r="G465" s="43">
        <v>5881</v>
      </c>
      <c r="H465" s="43">
        <v>1176.2</v>
      </c>
      <c r="I465" s="43">
        <f>YEAR(tbl_dashboard[[#This Row],[Fecha]])</f>
        <v>2020</v>
      </c>
      <c r="J465" s="43" t="str">
        <f>TEXT(tbl_dashboard[[#This Row],[Fecha]],"mmmm")</f>
        <v>Julio</v>
      </c>
      <c r="K465" s="43">
        <f>WEEKNUM(tbl_dashboard[[#This Row],[Fecha]],2)</f>
        <v>31</v>
      </c>
    </row>
    <row r="466" spans="2:11" x14ac:dyDescent="0.2">
      <c r="B466" s="75">
        <v>44042</v>
      </c>
      <c r="C466" s="43" t="s">
        <v>184</v>
      </c>
      <c r="D466" s="43" t="s">
        <v>168</v>
      </c>
      <c r="E466" s="43" t="s">
        <v>166</v>
      </c>
      <c r="F466" s="43" t="s">
        <v>169</v>
      </c>
      <c r="G466" s="43">
        <v>11332</v>
      </c>
      <c r="H466" s="43">
        <v>2379.7199999999998</v>
      </c>
      <c r="I466" s="43">
        <f>YEAR(tbl_dashboard[[#This Row],[Fecha]])</f>
        <v>2020</v>
      </c>
      <c r="J466" s="43" t="str">
        <f>TEXT(tbl_dashboard[[#This Row],[Fecha]],"mmmm")</f>
        <v>Julio</v>
      </c>
      <c r="K466" s="43">
        <f>WEEKNUM(tbl_dashboard[[#This Row],[Fecha]],2)</f>
        <v>31</v>
      </c>
    </row>
    <row r="467" spans="2:11" x14ac:dyDescent="0.2">
      <c r="B467" s="75">
        <v>44038</v>
      </c>
      <c r="C467" s="43" t="s">
        <v>185</v>
      </c>
      <c r="D467" s="43" t="s">
        <v>165</v>
      </c>
      <c r="E467" s="43" t="s">
        <v>162</v>
      </c>
      <c r="F467" s="43" t="s">
        <v>163</v>
      </c>
      <c r="G467" s="43">
        <v>7763</v>
      </c>
      <c r="H467" s="43">
        <v>2872.31</v>
      </c>
      <c r="I467" s="43">
        <f>YEAR(tbl_dashboard[[#This Row],[Fecha]])</f>
        <v>2020</v>
      </c>
      <c r="J467" s="43" t="str">
        <f>TEXT(tbl_dashboard[[#This Row],[Fecha]],"mmmm")</f>
        <v>Julio</v>
      </c>
      <c r="K467" s="43">
        <f>WEEKNUM(tbl_dashboard[[#This Row],[Fecha]],2)</f>
        <v>30</v>
      </c>
    </row>
    <row r="468" spans="2:11" x14ac:dyDescent="0.2">
      <c r="B468" s="75">
        <v>44037</v>
      </c>
      <c r="C468" s="43" t="s">
        <v>186</v>
      </c>
      <c r="D468" s="43" t="s">
        <v>165</v>
      </c>
      <c r="E468" s="43" t="s">
        <v>162</v>
      </c>
      <c r="F468" s="43" t="s">
        <v>169</v>
      </c>
      <c r="G468" s="43">
        <v>4228</v>
      </c>
      <c r="H468" s="43">
        <v>1479.8</v>
      </c>
      <c r="I468" s="43">
        <f>YEAR(tbl_dashboard[[#This Row],[Fecha]])</f>
        <v>2020</v>
      </c>
      <c r="J468" s="43" t="str">
        <f>TEXT(tbl_dashboard[[#This Row],[Fecha]],"mmmm")</f>
        <v>Julio</v>
      </c>
      <c r="K468" s="43">
        <f>WEEKNUM(tbl_dashboard[[#This Row],[Fecha]],2)</f>
        <v>30</v>
      </c>
    </row>
    <row r="469" spans="2:11" x14ac:dyDescent="0.2">
      <c r="B469" s="75">
        <v>44037</v>
      </c>
      <c r="C469" s="43" t="s">
        <v>187</v>
      </c>
      <c r="D469" s="43" t="s">
        <v>165</v>
      </c>
      <c r="E469" s="43" t="s">
        <v>162</v>
      </c>
      <c r="F469" s="43" t="s">
        <v>169</v>
      </c>
      <c r="G469" s="43">
        <v>8075</v>
      </c>
      <c r="H469" s="43">
        <v>2261</v>
      </c>
      <c r="I469" s="43">
        <f>YEAR(tbl_dashboard[[#This Row],[Fecha]])</f>
        <v>2020</v>
      </c>
      <c r="J469" s="43" t="str">
        <f>TEXT(tbl_dashboard[[#This Row],[Fecha]],"mmmm")</f>
        <v>Julio</v>
      </c>
      <c r="K469" s="43">
        <f>WEEKNUM(tbl_dashboard[[#This Row],[Fecha]],2)</f>
        <v>30</v>
      </c>
    </row>
    <row r="470" spans="2:11" x14ac:dyDescent="0.2">
      <c r="B470" s="75">
        <v>44037</v>
      </c>
      <c r="C470" s="43" t="s">
        <v>188</v>
      </c>
      <c r="D470" s="43" t="s">
        <v>161</v>
      </c>
      <c r="E470" s="43" t="s">
        <v>166</v>
      </c>
      <c r="F470" s="43" t="s">
        <v>169</v>
      </c>
      <c r="G470" s="43">
        <v>2275</v>
      </c>
      <c r="H470" s="43">
        <v>1001</v>
      </c>
      <c r="I470" s="43">
        <f>YEAR(tbl_dashboard[[#This Row],[Fecha]])</f>
        <v>2020</v>
      </c>
      <c r="J470" s="43" t="str">
        <f>TEXT(tbl_dashboard[[#This Row],[Fecha]],"mmmm")</f>
        <v>Julio</v>
      </c>
      <c r="K470" s="43">
        <f>WEEKNUM(tbl_dashboard[[#This Row],[Fecha]],2)</f>
        <v>30</v>
      </c>
    </row>
    <row r="471" spans="2:11" x14ac:dyDescent="0.2">
      <c r="B471" s="75">
        <v>44037</v>
      </c>
      <c r="C471" s="43" t="s">
        <v>189</v>
      </c>
      <c r="D471" s="43" t="s">
        <v>165</v>
      </c>
      <c r="E471" s="43" t="s">
        <v>166</v>
      </c>
      <c r="F471" s="43" t="s">
        <v>169</v>
      </c>
      <c r="G471" s="43">
        <v>2809</v>
      </c>
      <c r="H471" s="43">
        <v>870.79</v>
      </c>
      <c r="I471" s="43">
        <f>YEAR(tbl_dashboard[[#This Row],[Fecha]])</f>
        <v>2020</v>
      </c>
      <c r="J471" s="43" t="str">
        <f>TEXT(tbl_dashboard[[#This Row],[Fecha]],"mmmm")</f>
        <v>Julio</v>
      </c>
      <c r="K471" s="43">
        <f>WEEKNUM(tbl_dashboard[[#This Row],[Fecha]],2)</f>
        <v>30</v>
      </c>
    </row>
    <row r="472" spans="2:11" x14ac:dyDescent="0.2">
      <c r="B472" s="75">
        <v>44036</v>
      </c>
      <c r="C472" s="43" t="s">
        <v>190</v>
      </c>
      <c r="D472" s="43" t="s">
        <v>168</v>
      </c>
      <c r="E472" s="43" t="s">
        <v>162</v>
      </c>
      <c r="F472" s="43" t="s">
        <v>169</v>
      </c>
      <c r="G472" s="43">
        <v>2983</v>
      </c>
      <c r="H472" s="43">
        <v>447.45</v>
      </c>
      <c r="I472" s="43">
        <f>YEAR(tbl_dashboard[[#This Row],[Fecha]])</f>
        <v>2020</v>
      </c>
      <c r="J472" s="43" t="str">
        <f>TEXT(tbl_dashboard[[#This Row],[Fecha]],"mmmm")</f>
        <v>Julio</v>
      </c>
      <c r="K472" s="43">
        <f>WEEKNUM(tbl_dashboard[[#This Row],[Fecha]],2)</f>
        <v>30</v>
      </c>
    </row>
    <row r="473" spans="2:11" x14ac:dyDescent="0.2">
      <c r="B473" s="75">
        <v>44036</v>
      </c>
      <c r="C473" s="43" t="s">
        <v>191</v>
      </c>
      <c r="D473" s="43" t="s">
        <v>161</v>
      </c>
      <c r="E473" s="43" t="s">
        <v>166</v>
      </c>
      <c r="F473" s="43" t="s">
        <v>163</v>
      </c>
      <c r="G473" s="43">
        <v>8778</v>
      </c>
      <c r="H473" s="43">
        <v>3598.98</v>
      </c>
      <c r="I473" s="43">
        <f>YEAR(tbl_dashboard[[#This Row],[Fecha]])</f>
        <v>2020</v>
      </c>
      <c r="J473" s="43" t="str">
        <f>TEXT(tbl_dashboard[[#This Row],[Fecha]],"mmmm")</f>
        <v>Julio</v>
      </c>
      <c r="K473" s="43">
        <f>WEEKNUM(tbl_dashboard[[#This Row],[Fecha]],2)</f>
        <v>30</v>
      </c>
    </row>
    <row r="474" spans="2:11" x14ac:dyDescent="0.2">
      <c r="B474" s="75">
        <v>44036</v>
      </c>
      <c r="C474" s="43" t="s">
        <v>192</v>
      </c>
      <c r="D474" s="43" t="s">
        <v>165</v>
      </c>
      <c r="E474" s="43" t="s">
        <v>166</v>
      </c>
      <c r="F474" s="43" t="s">
        <v>163</v>
      </c>
      <c r="G474" s="43">
        <v>7452</v>
      </c>
      <c r="H474" s="43">
        <v>3204.36</v>
      </c>
      <c r="I474" s="43">
        <f>YEAR(tbl_dashboard[[#This Row],[Fecha]])</f>
        <v>2020</v>
      </c>
      <c r="J474" s="43" t="str">
        <f>TEXT(tbl_dashboard[[#This Row],[Fecha]],"mmmm")</f>
        <v>Julio</v>
      </c>
      <c r="K474" s="43">
        <f>WEEKNUM(tbl_dashboard[[#This Row],[Fecha]],2)</f>
        <v>30</v>
      </c>
    </row>
    <row r="475" spans="2:11" x14ac:dyDescent="0.2">
      <c r="B475" s="75">
        <v>44074</v>
      </c>
      <c r="C475" s="43" t="s">
        <v>160</v>
      </c>
      <c r="D475" s="43" t="s">
        <v>165</v>
      </c>
      <c r="E475" s="43" t="s">
        <v>166</v>
      </c>
      <c r="F475" s="43" t="s">
        <v>169</v>
      </c>
      <c r="G475" s="43">
        <v>7151</v>
      </c>
      <c r="H475" s="43">
        <v>1287.18</v>
      </c>
      <c r="I475" s="43">
        <f>YEAR(tbl_dashboard[[#This Row],[Fecha]])</f>
        <v>2020</v>
      </c>
      <c r="J475" s="43" t="str">
        <f>TEXT(tbl_dashboard[[#This Row],[Fecha]],"mmmm")</f>
        <v>Agosto</v>
      </c>
      <c r="K475" s="43">
        <f>WEEKNUM(tbl_dashboard[[#This Row],[Fecha]],2)</f>
        <v>36</v>
      </c>
    </row>
    <row r="476" spans="2:11" x14ac:dyDescent="0.2">
      <c r="B476" s="75">
        <v>44074</v>
      </c>
      <c r="C476" s="43" t="s">
        <v>164</v>
      </c>
      <c r="D476" s="43" t="s">
        <v>161</v>
      </c>
      <c r="E476" s="43" t="s">
        <v>162</v>
      </c>
      <c r="F476" s="43" t="s">
        <v>169</v>
      </c>
      <c r="G476" s="43">
        <v>7831</v>
      </c>
      <c r="H476" s="43">
        <v>1957.75</v>
      </c>
      <c r="I476" s="43">
        <f>YEAR(tbl_dashboard[[#This Row],[Fecha]])</f>
        <v>2020</v>
      </c>
      <c r="J476" s="43" t="str">
        <f>TEXT(tbl_dashboard[[#This Row],[Fecha]],"mmmm")</f>
        <v>Agosto</v>
      </c>
      <c r="K476" s="43">
        <f>WEEKNUM(tbl_dashboard[[#This Row],[Fecha]],2)</f>
        <v>36</v>
      </c>
    </row>
    <row r="477" spans="2:11" x14ac:dyDescent="0.2">
      <c r="B477" s="75">
        <v>44074</v>
      </c>
      <c r="C477" s="43" t="s">
        <v>167</v>
      </c>
      <c r="D477" s="43" t="s">
        <v>165</v>
      </c>
      <c r="E477" s="43" t="s">
        <v>162</v>
      </c>
      <c r="F477" s="43" t="s">
        <v>163</v>
      </c>
      <c r="G477" s="43">
        <v>9738</v>
      </c>
      <c r="H477" s="43">
        <v>4187.34</v>
      </c>
      <c r="I477" s="43">
        <f>YEAR(tbl_dashboard[[#This Row],[Fecha]])</f>
        <v>2020</v>
      </c>
      <c r="J477" s="43" t="str">
        <f>TEXT(tbl_dashboard[[#This Row],[Fecha]],"mmmm")</f>
        <v>Agosto</v>
      </c>
      <c r="K477" s="43">
        <f>WEEKNUM(tbl_dashboard[[#This Row],[Fecha]],2)</f>
        <v>36</v>
      </c>
    </row>
    <row r="478" spans="2:11" x14ac:dyDescent="0.2">
      <c r="B478" s="75">
        <v>44074</v>
      </c>
      <c r="C478" s="43" t="s">
        <v>170</v>
      </c>
      <c r="D478" s="43" t="s">
        <v>168</v>
      </c>
      <c r="E478" s="43" t="s">
        <v>162</v>
      </c>
      <c r="F478" s="43" t="s">
        <v>163</v>
      </c>
      <c r="G478" s="43">
        <v>7514</v>
      </c>
      <c r="H478" s="43">
        <v>2329.34</v>
      </c>
      <c r="I478" s="43">
        <f>YEAR(tbl_dashboard[[#This Row],[Fecha]])</f>
        <v>2020</v>
      </c>
      <c r="J478" s="43" t="str">
        <f>TEXT(tbl_dashboard[[#This Row],[Fecha]],"mmmm")</f>
        <v>Agosto</v>
      </c>
      <c r="K478" s="43">
        <f>WEEKNUM(tbl_dashboard[[#This Row],[Fecha]],2)</f>
        <v>36</v>
      </c>
    </row>
    <row r="479" spans="2:11" x14ac:dyDescent="0.2">
      <c r="B479" s="75">
        <v>44073</v>
      </c>
      <c r="C479" s="43" t="s">
        <v>171</v>
      </c>
      <c r="D479" s="43" t="s">
        <v>161</v>
      </c>
      <c r="E479" s="43" t="s">
        <v>162</v>
      </c>
      <c r="F479" s="43" t="s">
        <v>169</v>
      </c>
      <c r="G479" s="43">
        <v>9953</v>
      </c>
      <c r="H479" s="43">
        <v>3782.14</v>
      </c>
      <c r="I479" s="43">
        <f>YEAR(tbl_dashboard[[#This Row],[Fecha]])</f>
        <v>2020</v>
      </c>
      <c r="J479" s="43" t="str">
        <f>TEXT(tbl_dashboard[[#This Row],[Fecha]],"mmmm")</f>
        <v>Agosto</v>
      </c>
      <c r="K479" s="43">
        <f>WEEKNUM(tbl_dashboard[[#This Row],[Fecha]],2)</f>
        <v>35</v>
      </c>
    </row>
    <row r="480" spans="2:11" x14ac:dyDescent="0.2">
      <c r="B480" s="75">
        <v>44069</v>
      </c>
      <c r="C480" s="43" t="s">
        <v>172</v>
      </c>
      <c r="D480" s="43" t="s">
        <v>165</v>
      </c>
      <c r="E480" s="43" t="s">
        <v>162</v>
      </c>
      <c r="F480" s="43" t="s">
        <v>163</v>
      </c>
      <c r="G480" s="43">
        <v>9069</v>
      </c>
      <c r="H480" s="43">
        <v>2176.56</v>
      </c>
      <c r="I480" s="43">
        <f>YEAR(tbl_dashboard[[#This Row],[Fecha]])</f>
        <v>2020</v>
      </c>
      <c r="J480" s="43" t="str">
        <f>TEXT(tbl_dashboard[[#This Row],[Fecha]],"mmmm")</f>
        <v>Agosto</v>
      </c>
      <c r="K480" s="43">
        <f>WEEKNUM(tbl_dashboard[[#This Row],[Fecha]],2)</f>
        <v>35</v>
      </c>
    </row>
    <row r="481" spans="2:11" x14ac:dyDescent="0.2">
      <c r="B481" s="75">
        <v>44068</v>
      </c>
      <c r="C481" s="43" t="s">
        <v>173</v>
      </c>
      <c r="D481" s="43" t="s">
        <v>168</v>
      </c>
      <c r="E481" s="43" t="s">
        <v>166</v>
      </c>
      <c r="F481" s="43" t="s">
        <v>169</v>
      </c>
      <c r="G481" s="43">
        <v>9853</v>
      </c>
      <c r="H481" s="43">
        <v>3547.08</v>
      </c>
      <c r="I481" s="43">
        <f>YEAR(tbl_dashboard[[#This Row],[Fecha]])</f>
        <v>2020</v>
      </c>
      <c r="J481" s="43" t="str">
        <f>TEXT(tbl_dashboard[[#This Row],[Fecha]],"mmmm")</f>
        <v>Agosto</v>
      </c>
      <c r="K481" s="43">
        <f>WEEKNUM(tbl_dashboard[[#This Row],[Fecha]],2)</f>
        <v>35</v>
      </c>
    </row>
    <row r="482" spans="2:11" x14ac:dyDescent="0.2">
      <c r="B482" s="75">
        <v>44068</v>
      </c>
      <c r="C482" s="43" t="s">
        <v>174</v>
      </c>
      <c r="D482" s="43" t="s">
        <v>168</v>
      </c>
      <c r="E482" s="43" t="s">
        <v>166</v>
      </c>
      <c r="F482" s="43" t="s">
        <v>169</v>
      </c>
      <c r="G482" s="43">
        <v>7458</v>
      </c>
      <c r="H482" s="43">
        <v>2908.62</v>
      </c>
      <c r="I482" s="43">
        <f>YEAR(tbl_dashboard[[#This Row],[Fecha]])</f>
        <v>2020</v>
      </c>
      <c r="J482" s="43" t="str">
        <f>TEXT(tbl_dashboard[[#This Row],[Fecha]],"mmmm")</f>
        <v>Agosto</v>
      </c>
      <c r="K482" s="43">
        <f>WEEKNUM(tbl_dashboard[[#This Row],[Fecha]],2)</f>
        <v>35</v>
      </c>
    </row>
    <row r="483" spans="2:11" x14ac:dyDescent="0.2">
      <c r="B483" s="75">
        <v>44068</v>
      </c>
      <c r="C483" s="43" t="s">
        <v>175</v>
      </c>
      <c r="D483" s="43" t="s">
        <v>165</v>
      </c>
      <c r="E483" s="43" t="s">
        <v>162</v>
      </c>
      <c r="F483" s="43" t="s">
        <v>169</v>
      </c>
      <c r="G483" s="43">
        <v>2936</v>
      </c>
      <c r="H483" s="43">
        <v>587.20000000000005</v>
      </c>
      <c r="I483" s="43">
        <f>YEAR(tbl_dashboard[[#This Row],[Fecha]])</f>
        <v>2020</v>
      </c>
      <c r="J483" s="43" t="str">
        <f>TEXT(tbl_dashboard[[#This Row],[Fecha]],"mmmm")</f>
        <v>Agosto</v>
      </c>
      <c r="K483" s="43">
        <f>WEEKNUM(tbl_dashboard[[#This Row],[Fecha]],2)</f>
        <v>35</v>
      </c>
    </row>
    <row r="484" spans="2:11" x14ac:dyDescent="0.2">
      <c r="B484" s="75">
        <v>44068</v>
      </c>
      <c r="C484" s="43" t="s">
        <v>176</v>
      </c>
      <c r="D484" s="43" t="s">
        <v>165</v>
      </c>
      <c r="E484" s="43" t="s">
        <v>162</v>
      </c>
      <c r="F484" s="43" t="s">
        <v>169</v>
      </c>
      <c r="G484" s="43">
        <v>1247</v>
      </c>
      <c r="H484" s="43">
        <v>386.57</v>
      </c>
      <c r="I484" s="43">
        <f>YEAR(tbl_dashboard[[#This Row],[Fecha]])</f>
        <v>2020</v>
      </c>
      <c r="J484" s="43" t="str">
        <f>TEXT(tbl_dashboard[[#This Row],[Fecha]],"mmmm")</f>
        <v>Agosto</v>
      </c>
      <c r="K484" s="43">
        <f>WEEKNUM(tbl_dashboard[[#This Row],[Fecha]],2)</f>
        <v>35</v>
      </c>
    </row>
    <row r="485" spans="2:11" x14ac:dyDescent="0.2">
      <c r="B485" s="75">
        <v>44067</v>
      </c>
      <c r="C485" s="43" t="s">
        <v>177</v>
      </c>
      <c r="D485" s="43" t="s">
        <v>165</v>
      </c>
      <c r="E485" s="43" t="s">
        <v>166</v>
      </c>
      <c r="F485" s="43" t="s">
        <v>169</v>
      </c>
      <c r="G485" s="43">
        <v>10288</v>
      </c>
      <c r="H485" s="43">
        <v>4423.84</v>
      </c>
      <c r="I485" s="43">
        <f>YEAR(tbl_dashboard[[#This Row],[Fecha]])</f>
        <v>2020</v>
      </c>
      <c r="J485" s="43" t="str">
        <f>TEXT(tbl_dashboard[[#This Row],[Fecha]],"mmmm")</f>
        <v>Agosto</v>
      </c>
      <c r="K485" s="43">
        <f>WEEKNUM(tbl_dashboard[[#This Row],[Fecha]],2)</f>
        <v>35</v>
      </c>
    </row>
    <row r="486" spans="2:11" x14ac:dyDescent="0.2">
      <c r="B486" s="75">
        <v>44073</v>
      </c>
      <c r="C486" s="43" t="s">
        <v>178</v>
      </c>
      <c r="D486" s="43" t="s">
        <v>161</v>
      </c>
      <c r="E486" s="43" t="s">
        <v>166</v>
      </c>
      <c r="F486" s="43" t="s">
        <v>163</v>
      </c>
      <c r="G486" s="43">
        <v>5975</v>
      </c>
      <c r="H486" s="43">
        <v>1553.5</v>
      </c>
      <c r="I486" s="43">
        <f>YEAR(tbl_dashboard[[#This Row],[Fecha]])</f>
        <v>2020</v>
      </c>
      <c r="J486" s="43" t="str">
        <f>TEXT(tbl_dashboard[[#This Row],[Fecha]],"mmmm")</f>
        <v>Agosto</v>
      </c>
      <c r="K486" s="43">
        <f>WEEKNUM(tbl_dashboard[[#This Row],[Fecha]],2)</f>
        <v>35</v>
      </c>
    </row>
    <row r="487" spans="2:11" x14ac:dyDescent="0.2">
      <c r="B487" s="75">
        <v>44073</v>
      </c>
      <c r="C487" s="43" t="s">
        <v>179</v>
      </c>
      <c r="D487" s="43" t="s">
        <v>161</v>
      </c>
      <c r="E487" s="43" t="s">
        <v>162</v>
      </c>
      <c r="F487" s="43" t="s">
        <v>163</v>
      </c>
      <c r="G487" s="43">
        <v>8159</v>
      </c>
      <c r="H487" s="43">
        <v>2692.47</v>
      </c>
      <c r="I487" s="43">
        <f>YEAR(tbl_dashboard[[#This Row],[Fecha]])</f>
        <v>2020</v>
      </c>
      <c r="J487" s="43" t="str">
        <f>TEXT(tbl_dashboard[[#This Row],[Fecha]],"mmmm")</f>
        <v>Agosto</v>
      </c>
      <c r="K487" s="43">
        <f>WEEKNUM(tbl_dashboard[[#This Row],[Fecha]],2)</f>
        <v>35</v>
      </c>
    </row>
    <row r="488" spans="2:11" x14ac:dyDescent="0.2">
      <c r="B488" s="75">
        <v>44073</v>
      </c>
      <c r="C488" s="43" t="s">
        <v>180</v>
      </c>
      <c r="D488" s="43" t="s">
        <v>165</v>
      </c>
      <c r="E488" s="43" t="s">
        <v>162</v>
      </c>
      <c r="F488" s="43" t="s">
        <v>169</v>
      </c>
      <c r="G488" s="43">
        <v>3105</v>
      </c>
      <c r="H488" s="43">
        <v>993.6</v>
      </c>
      <c r="I488" s="43">
        <f>YEAR(tbl_dashboard[[#This Row],[Fecha]])</f>
        <v>2020</v>
      </c>
      <c r="J488" s="43" t="str">
        <f>TEXT(tbl_dashboard[[#This Row],[Fecha]],"mmmm")</f>
        <v>Agosto</v>
      </c>
      <c r="K488" s="43">
        <f>WEEKNUM(tbl_dashboard[[#This Row],[Fecha]],2)</f>
        <v>35</v>
      </c>
    </row>
    <row r="489" spans="2:11" x14ac:dyDescent="0.2">
      <c r="B489" s="75">
        <v>44104</v>
      </c>
      <c r="C489" s="43" t="s">
        <v>160</v>
      </c>
      <c r="D489" s="43" t="s">
        <v>168</v>
      </c>
      <c r="E489" s="43" t="s">
        <v>166</v>
      </c>
      <c r="F489" s="43" t="s">
        <v>169</v>
      </c>
      <c r="G489" s="43">
        <v>2975</v>
      </c>
      <c r="H489" s="43">
        <v>654.5</v>
      </c>
      <c r="I489" s="43">
        <f>YEAR(tbl_dashboard[[#This Row],[Fecha]])</f>
        <v>2020</v>
      </c>
      <c r="J489" s="43" t="str">
        <f>TEXT(tbl_dashboard[[#This Row],[Fecha]],"mmmm")</f>
        <v>Setiembre</v>
      </c>
      <c r="K489" s="43">
        <f>WEEKNUM(tbl_dashboard[[#This Row],[Fecha]],2)</f>
        <v>40</v>
      </c>
    </row>
    <row r="490" spans="2:11" x14ac:dyDescent="0.2">
      <c r="B490" s="75">
        <v>44104</v>
      </c>
      <c r="C490" s="43" t="s">
        <v>164</v>
      </c>
      <c r="D490" s="43" t="s">
        <v>168</v>
      </c>
      <c r="E490" s="43" t="s">
        <v>162</v>
      </c>
      <c r="F490" s="43" t="s">
        <v>163</v>
      </c>
      <c r="G490" s="43">
        <v>1909</v>
      </c>
      <c r="H490" s="43">
        <v>343.62</v>
      </c>
      <c r="I490" s="43">
        <f>YEAR(tbl_dashboard[[#This Row],[Fecha]])</f>
        <v>2020</v>
      </c>
      <c r="J490" s="43" t="str">
        <f>TEXT(tbl_dashboard[[#This Row],[Fecha]],"mmmm")</f>
        <v>Setiembre</v>
      </c>
      <c r="K490" s="43">
        <f>WEEKNUM(tbl_dashboard[[#This Row],[Fecha]],2)</f>
        <v>40</v>
      </c>
    </row>
    <row r="491" spans="2:11" x14ac:dyDescent="0.2">
      <c r="B491" s="75">
        <v>44104</v>
      </c>
      <c r="C491" s="43" t="s">
        <v>167</v>
      </c>
      <c r="D491" s="43" t="s">
        <v>165</v>
      </c>
      <c r="E491" s="43" t="s">
        <v>162</v>
      </c>
      <c r="F491" s="43" t="s">
        <v>163</v>
      </c>
      <c r="G491" s="43">
        <v>4140</v>
      </c>
      <c r="H491" s="43">
        <v>952.2</v>
      </c>
      <c r="I491" s="43">
        <f>YEAR(tbl_dashboard[[#This Row],[Fecha]])</f>
        <v>2020</v>
      </c>
      <c r="J491" s="43" t="str">
        <f>TEXT(tbl_dashboard[[#This Row],[Fecha]],"mmmm")</f>
        <v>Setiembre</v>
      </c>
      <c r="K491" s="43">
        <f>WEEKNUM(tbl_dashboard[[#This Row],[Fecha]],2)</f>
        <v>40</v>
      </c>
    </row>
    <row r="492" spans="2:11" x14ac:dyDescent="0.2">
      <c r="B492" s="75">
        <v>44104</v>
      </c>
      <c r="C492" s="43" t="s">
        <v>170</v>
      </c>
      <c r="D492" s="43" t="s">
        <v>165</v>
      </c>
      <c r="E492" s="43" t="s">
        <v>162</v>
      </c>
      <c r="F492" s="43" t="s">
        <v>169</v>
      </c>
      <c r="G492" s="43">
        <v>1769</v>
      </c>
      <c r="H492" s="43">
        <v>796.05</v>
      </c>
      <c r="I492" s="43">
        <f>YEAR(tbl_dashboard[[#This Row],[Fecha]])</f>
        <v>2020</v>
      </c>
      <c r="J492" s="43" t="str">
        <f>TEXT(tbl_dashboard[[#This Row],[Fecha]],"mmmm")</f>
        <v>Setiembre</v>
      </c>
      <c r="K492" s="43">
        <f>WEEKNUM(tbl_dashboard[[#This Row],[Fecha]],2)</f>
        <v>40</v>
      </c>
    </row>
    <row r="493" spans="2:11" x14ac:dyDescent="0.2">
      <c r="B493" s="75">
        <v>44100</v>
      </c>
      <c r="C493" s="43" t="s">
        <v>171</v>
      </c>
      <c r="D493" s="43" t="s">
        <v>165</v>
      </c>
      <c r="E493" s="43" t="s">
        <v>166</v>
      </c>
      <c r="F493" s="43" t="s">
        <v>163</v>
      </c>
      <c r="G493" s="43">
        <v>1185</v>
      </c>
      <c r="H493" s="43">
        <v>201.45</v>
      </c>
      <c r="I493" s="43">
        <f>YEAR(tbl_dashboard[[#This Row],[Fecha]])</f>
        <v>2020</v>
      </c>
      <c r="J493" s="43" t="str">
        <f>TEXT(tbl_dashboard[[#This Row],[Fecha]],"mmmm")</f>
        <v>Setiembre</v>
      </c>
      <c r="K493" s="43">
        <f>WEEKNUM(tbl_dashboard[[#This Row],[Fecha]],2)</f>
        <v>39</v>
      </c>
    </row>
    <row r="494" spans="2:11" x14ac:dyDescent="0.2">
      <c r="B494" s="75">
        <v>44099</v>
      </c>
      <c r="C494" s="43" t="s">
        <v>172</v>
      </c>
      <c r="D494" s="43" t="s">
        <v>161</v>
      </c>
      <c r="E494" s="43" t="s">
        <v>166</v>
      </c>
      <c r="F494" s="43" t="s">
        <v>169</v>
      </c>
      <c r="G494" s="43">
        <v>1627</v>
      </c>
      <c r="H494" s="43">
        <v>276.58999999999997</v>
      </c>
      <c r="I494" s="43">
        <f>YEAR(tbl_dashboard[[#This Row],[Fecha]])</f>
        <v>2020</v>
      </c>
      <c r="J494" s="43" t="str">
        <f>TEXT(tbl_dashboard[[#This Row],[Fecha]],"mmmm")</f>
        <v>Setiembre</v>
      </c>
      <c r="K494" s="43">
        <f>WEEKNUM(tbl_dashboard[[#This Row],[Fecha]],2)</f>
        <v>39</v>
      </c>
    </row>
    <row r="495" spans="2:11" x14ac:dyDescent="0.2">
      <c r="B495" s="75">
        <v>44099</v>
      </c>
      <c r="C495" s="43" t="s">
        <v>173</v>
      </c>
      <c r="D495" s="43" t="s">
        <v>165</v>
      </c>
      <c r="E495" s="43" t="s">
        <v>162</v>
      </c>
      <c r="F495" s="43" t="s">
        <v>169</v>
      </c>
      <c r="G495" s="43">
        <v>6235</v>
      </c>
      <c r="H495" s="43">
        <v>2369.3000000000002</v>
      </c>
      <c r="I495" s="43">
        <f>YEAR(tbl_dashboard[[#This Row],[Fecha]])</f>
        <v>2020</v>
      </c>
      <c r="J495" s="43" t="str">
        <f>TEXT(tbl_dashboard[[#This Row],[Fecha]],"mmmm")</f>
        <v>Setiembre</v>
      </c>
      <c r="K495" s="43">
        <f>WEEKNUM(tbl_dashboard[[#This Row],[Fecha]],2)</f>
        <v>39</v>
      </c>
    </row>
    <row r="496" spans="2:11" x14ac:dyDescent="0.2">
      <c r="B496" s="75">
        <v>44099</v>
      </c>
      <c r="C496" s="43" t="s">
        <v>174</v>
      </c>
      <c r="D496" s="43" t="s">
        <v>165</v>
      </c>
      <c r="E496" s="43" t="s">
        <v>166</v>
      </c>
      <c r="F496" s="43" t="s">
        <v>169</v>
      </c>
      <c r="G496" s="43">
        <v>5577</v>
      </c>
      <c r="H496" s="43">
        <v>1394.25</v>
      </c>
      <c r="I496" s="43">
        <f>YEAR(tbl_dashboard[[#This Row],[Fecha]])</f>
        <v>2020</v>
      </c>
      <c r="J496" s="43" t="str">
        <f>TEXT(tbl_dashboard[[#This Row],[Fecha]],"mmmm")</f>
        <v>Setiembre</v>
      </c>
      <c r="K496" s="43">
        <f>WEEKNUM(tbl_dashboard[[#This Row],[Fecha]],2)</f>
        <v>39</v>
      </c>
    </row>
    <row r="497" spans="2:11" x14ac:dyDescent="0.2">
      <c r="B497" s="75">
        <v>44099</v>
      </c>
      <c r="C497" s="43" t="s">
        <v>175</v>
      </c>
      <c r="D497" s="43" t="s">
        <v>168</v>
      </c>
      <c r="E497" s="43" t="s">
        <v>166</v>
      </c>
      <c r="F497" s="43" t="s">
        <v>169</v>
      </c>
      <c r="G497" s="43">
        <v>8536</v>
      </c>
      <c r="H497" s="43">
        <v>2646.16</v>
      </c>
      <c r="I497" s="43">
        <f>YEAR(tbl_dashboard[[#This Row],[Fecha]])</f>
        <v>2020</v>
      </c>
      <c r="J497" s="43" t="str">
        <f>TEXT(tbl_dashboard[[#This Row],[Fecha]],"mmmm")</f>
        <v>Setiembre</v>
      </c>
      <c r="K497" s="43">
        <f>WEEKNUM(tbl_dashboard[[#This Row],[Fecha]],2)</f>
        <v>39</v>
      </c>
    </row>
    <row r="498" spans="2:11" x14ac:dyDescent="0.2">
      <c r="B498" s="75">
        <v>44098</v>
      </c>
      <c r="C498" s="43" t="s">
        <v>176</v>
      </c>
      <c r="D498" s="43" t="s">
        <v>165</v>
      </c>
      <c r="E498" s="43" t="s">
        <v>162</v>
      </c>
      <c r="F498" s="43" t="s">
        <v>169</v>
      </c>
      <c r="G498" s="43">
        <v>1061</v>
      </c>
      <c r="H498" s="43">
        <v>212.2</v>
      </c>
      <c r="I498" s="43">
        <f>YEAR(tbl_dashboard[[#This Row],[Fecha]])</f>
        <v>2020</v>
      </c>
      <c r="J498" s="43" t="str">
        <f>TEXT(tbl_dashboard[[#This Row],[Fecha]],"mmmm")</f>
        <v>Setiembre</v>
      </c>
      <c r="K498" s="43">
        <f>WEEKNUM(tbl_dashboard[[#This Row],[Fecha]],2)</f>
        <v>39</v>
      </c>
    </row>
    <row r="499" spans="2:11" x14ac:dyDescent="0.2">
      <c r="B499" s="75">
        <v>44098</v>
      </c>
      <c r="C499" s="43" t="s">
        <v>177</v>
      </c>
      <c r="D499" s="43" t="s">
        <v>161</v>
      </c>
      <c r="E499" s="43" t="s">
        <v>162</v>
      </c>
      <c r="F499" s="43" t="s">
        <v>163</v>
      </c>
      <c r="G499" s="43">
        <v>11184</v>
      </c>
      <c r="H499" s="43">
        <v>4249.92</v>
      </c>
      <c r="I499" s="43">
        <f>YEAR(tbl_dashboard[[#This Row],[Fecha]])</f>
        <v>2020</v>
      </c>
      <c r="J499" s="43" t="str">
        <f>TEXT(tbl_dashboard[[#This Row],[Fecha]],"mmmm")</f>
        <v>Setiembre</v>
      </c>
      <c r="K499" s="43">
        <f>WEEKNUM(tbl_dashboard[[#This Row],[Fecha]],2)</f>
        <v>39</v>
      </c>
    </row>
    <row r="500" spans="2:11" x14ac:dyDescent="0.2">
      <c r="B500" s="75">
        <v>44098</v>
      </c>
      <c r="C500" s="43" t="s">
        <v>178</v>
      </c>
      <c r="D500" s="43" t="s">
        <v>161</v>
      </c>
      <c r="E500" s="43" t="s">
        <v>162</v>
      </c>
      <c r="F500" s="43" t="s">
        <v>163</v>
      </c>
      <c r="G500" s="43">
        <v>2461</v>
      </c>
      <c r="H500" s="43">
        <v>639.86</v>
      </c>
      <c r="I500" s="43">
        <f>YEAR(tbl_dashboard[[#This Row],[Fecha]])</f>
        <v>2020</v>
      </c>
      <c r="J500" s="43" t="str">
        <f>TEXT(tbl_dashboard[[#This Row],[Fecha]],"mmmm")</f>
        <v>Setiembre</v>
      </c>
      <c r="K500" s="43">
        <f>WEEKNUM(tbl_dashboard[[#This Row],[Fecha]],2)</f>
        <v>39</v>
      </c>
    </row>
    <row r="501" spans="2:11" x14ac:dyDescent="0.2">
      <c r="B501" s="75">
        <v>44098</v>
      </c>
      <c r="C501" s="43" t="s">
        <v>179</v>
      </c>
      <c r="D501" s="43" t="s">
        <v>161</v>
      </c>
      <c r="E501" s="43" t="s">
        <v>162</v>
      </c>
      <c r="F501" s="43" t="s">
        <v>169</v>
      </c>
      <c r="G501" s="43">
        <v>8675</v>
      </c>
      <c r="H501" s="43">
        <v>3123</v>
      </c>
      <c r="I501" s="43">
        <f>YEAR(tbl_dashboard[[#This Row],[Fecha]])</f>
        <v>2020</v>
      </c>
      <c r="J501" s="43" t="str">
        <f>TEXT(tbl_dashboard[[#This Row],[Fecha]],"mmmm")</f>
        <v>Setiembre</v>
      </c>
      <c r="K501" s="43">
        <f>WEEKNUM(tbl_dashboard[[#This Row],[Fecha]],2)</f>
        <v>39</v>
      </c>
    </row>
    <row r="502" spans="2:11" x14ac:dyDescent="0.2">
      <c r="B502" s="75">
        <v>44098</v>
      </c>
      <c r="C502" s="43" t="s">
        <v>180</v>
      </c>
      <c r="D502" s="43" t="s">
        <v>168</v>
      </c>
      <c r="E502" s="43" t="s">
        <v>162</v>
      </c>
      <c r="F502" s="43" t="s">
        <v>169</v>
      </c>
      <c r="G502" s="43">
        <v>3141</v>
      </c>
      <c r="H502" s="43">
        <v>1099.3499999999999</v>
      </c>
      <c r="I502" s="43">
        <f>YEAR(tbl_dashboard[[#This Row],[Fecha]])</f>
        <v>2020</v>
      </c>
      <c r="J502" s="43" t="str">
        <f>TEXT(tbl_dashboard[[#This Row],[Fecha]],"mmmm")</f>
        <v>Setiembre</v>
      </c>
      <c r="K502" s="43">
        <f>WEEKNUM(tbl_dashboard[[#This Row],[Fecha]],2)</f>
        <v>39</v>
      </c>
    </row>
    <row r="503" spans="2:11" x14ac:dyDescent="0.2">
      <c r="B503" s="75">
        <v>44098</v>
      </c>
      <c r="C503" s="43" t="s">
        <v>181</v>
      </c>
      <c r="D503" s="43" t="s">
        <v>161</v>
      </c>
      <c r="E503" s="43" t="s">
        <v>166</v>
      </c>
      <c r="F503" s="43" t="s">
        <v>163</v>
      </c>
      <c r="G503" s="43">
        <v>11027</v>
      </c>
      <c r="H503" s="43">
        <v>3087.56</v>
      </c>
      <c r="I503" s="43">
        <f>YEAR(tbl_dashboard[[#This Row],[Fecha]])</f>
        <v>2020</v>
      </c>
      <c r="J503" s="43" t="str">
        <f>TEXT(tbl_dashboard[[#This Row],[Fecha]],"mmmm")</f>
        <v>Setiembre</v>
      </c>
      <c r="K503" s="43">
        <f>WEEKNUM(tbl_dashboard[[#This Row],[Fecha]],2)</f>
        <v>39</v>
      </c>
    </row>
    <row r="504" spans="2:11" x14ac:dyDescent="0.2">
      <c r="B504" s="75">
        <v>44098</v>
      </c>
      <c r="C504" s="43" t="s">
        <v>182</v>
      </c>
      <c r="D504" s="43" t="s">
        <v>161</v>
      </c>
      <c r="E504" s="43" t="s">
        <v>162</v>
      </c>
      <c r="F504" s="43" t="s">
        <v>163</v>
      </c>
      <c r="G504" s="43">
        <v>6503</v>
      </c>
      <c r="H504" s="43">
        <v>2471.14</v>
      </c>
      <c r="I504" s="43">
        <f>YEAR(tbl_dashboard[[#This Row],[Fecha]])</f>
        <v>2020</v>
      </c>
      <c r="J504" s="43" t="str">
        <f>TEXT(tbl_dashboard[[#This Row],[Fecha]],"mmmm")</f>
        <v>Setiembre</v>
      </c>
      <c r="K504" s="43">
        <f>WEEKNUM(tbl_dashboard[[#This Row],[Fecha]],2)</f>
        <v>39</v>
      </c>
    </row>
    <row r="505" spans="2:11" x14ac:dyDescent="0.2">
      <c r="B505" s="75">
        <v>44104</v>
      </c>
      <c r="C505" s="43" t="s">
        <v>183</v>
      </c>
      <c r="D505" s="43" t="s">
        <v>168</v>
      </c>
      <c r="E505" s="43" t="s">
        <v>166</v>
      </c>
      <c r="F505" s="43" t="s">
        <v>169</v>
      </c>
      <c r="G505" s="43">
        <v>2383</v>
      </c>
      <c r="H505" s="43">
        <v>929.37</v>
      </c>
      <c r="I505" s="43">
        <f>YEAR(tbl_dashboard[[#This Row],[Fecha]])</f>
        <v>2020</v>
      </c>
      <c r="J505" s="43" t="str">
        <f>TEXT(tbl_dashboard[[#This Row],[Fecha]],"mmmm")</f>
        <v>Setiembre</v>
      </c>
      <c r="K505" s="43">
        <f>WEEKNUM(tbl_dashboard[[#This Row],[Fecha]],2)</f>
        <v>40</v>
      </c>
    </row>
    <row r="506" spans="2:11" x14ac:dyDescent="0.2">
      <c r="B506" s="75">
        <v>44100</v>
      </c>
      <c r="C506" s="43" t="s">
        <v>184</v>
      </c>
      <c r="D506" s="43" t="s">
        <v>161</v>
      </c>
      <c r="E506" s="43" t="s">
        <v>162</v>
      </c>
      <c r="F506" s="43" t="s">
        <v>163</v>
      </c>
      <c r="G506" s="43">
        <v>10496</v>
      </c>
      <c r="H506" s="43">
        <v>4618.24</v>
      </c>
      <c r="I506" s="43">
        <f>YEAR(tbl_dashboard[[#This Row],[Fecha]])</f>
        <v>2020</v>
      </c>
      <c r="J506" s="43" t="str">
        <f>TEXT(tbl_dashboard[[#This Row],[Fecha]],"mmmm")</f>
        <v>Setiembre</v>
      </c>
      <c r="K506" s="43">
        <f>WEEKNUM(tbl_dashboard[[#This Row],[Fecha]],2)</f>
        <v>39</v>
      </c>
    </row>
    <row r="507" spans="2:11" x14ac:dyDescent="0.2">
      <c r="B507" s="75">
        <v>44099</v>
      </c>
      <c r="C507" s="43" t="s">
        <v>185</v>
      </c>
      <c r="D507" s="43" t="s">
        <v>168</v>
      </c>
      <c r="E507" s="43" t="s">
        <v>166</v>
      </c>
      <c r="F507" s="43" t="s">
        <v>169</v>
      </c>
      <c r="G507" s="43">
        <v>4314</v>
      </c>
      <c r="H507" s="43">
        <v>949.08</v>
      </c>
      <c r="I507" s="43">
        <f>YEAR(tbl_dashboard[[#This Row],[Fecha]])</f>
        <v>2020</v>
      </c>
      <c r="J507" s="43" t="str">
        <f>TEXT(tbl_dashboard[[#This Row],[Fecha]],"mmmm")</f>
        <v>Setiembre</v>
      </c>
      <c r="K507" s="43">
        <f>WEEKNUM(tbl_dashboard[[#This Row],[Fecha]],2)</f>
        <v>39</v>
      </c>
    </row>
    <row r="508" spans="2:11" x14ac:dyDescent="0.2">
      <c r="B508" s="75">
        <v>44099</v>
      </c>
      <c r="C508" s="43" t="s">
        <v>186</v>
      </c>
      <c r="D508" s="43" t="s">
        <v>168</v>
      </c>
      <c r="E508" s="43" t="s">
        <v>162</v>
      </c>
      <c r="F508" s="43" t="s">
        <v>169</v>
      </c>
      <c r="G508" s="43">
        <v>8488</v>
      </c>
      <c r="H508" s="43">
        <v>2801.04</v>
      </c>
      <c r="I508" s="43">
        <f>YEAR(tbl_dashboard[[#This Row],[Fecha]])</f>
        <v>2020</v>
      </c>
      <c r="J508" s="43" t="str">
        <f>TEXT(tbl_dashboard[[#This Row],[Fecha]],"mmmm")</f>
        <v>Setiembre</v>
      </c>
      <c r="K508" s="43">
        <f>WEEKNUM(tbl_dashboard[[#This Row],[Fecha]],2)</f>
        <v>39</v>
      </c>
    </row>
    <row r="509" spans="2:11" x14ac:dyDescent="0.2">
      <c r="B509" s="75">
        <v>44099</v>
      </c>
      <c r="C509" s="43" t="s">
        <v>187</v>
      </c>
      <c r="D509" s="43" t="s">
        <v>168</v>
      </c>
      <c r="E509" s="43" t="s">
        <v>166</v>
      </c>
      <c r="F509" s="43" t="s">
        <v>169</v>
      </c>
      <c r="G509" s="43">
        <v>4917</v>
      </c>
      <c r="H509" s="43">
        <v>983.4</v>
      </c>
      <c r="I509" s="43">
        <f>YEAR(tbl_dashboard[[#This Row],[Fecha]])</f>
        <v>2020</v>
      </c>
      <c r="J509" s="43" t="str">
        <f>TEXT(tbl_dashboard[[#This Row],[Fecha]],"mmmm")</f>
        <v>Setiembre</v>
      </c>
      <c r="K509" s="43">
        <f>WEEKNUM(tbl_dashboard[[#This Row],[Fecha]],2)</f>
        <v>39</v>
      </c>
    </row>
    <row r="510" spans="2:11" x14ac:dyDescent="0.2">
      <c r="B510" s="75">
        <v>44099</v>
      </c>
      <c r="C510" s="43" t="s">
        <v>188</v>
      </c>
      <c r="D510" s="43" t="s">
        <v>168</v>
      </c>
      <c r="E510" s="43" t="s">
        <v>166</v>
      </c>
      <c r="F510" s="43" t="s">
        <v>169</v>
      </c>
      <c r="G510" s="43">
        <v>2201</v>
      </c>
      <c r="H510" s="43">
        <v>440.2</v>
      </c>
      <c r="I510" s="43">
        <f>YEAR(tbl_dashboard[[#This Row],[Fecha]])</f>
        <v>2020</v>
      </c>
      <c r="J510" s="43" t="str">
        <f>TEXT(tbl_dashboard[[#This Row],[Fecha]],"mmmm")</f>
        <v>Setiembre</v>
      </c>
      <c r="K510" s="43">
        <f>WEEKNUM(tbl_dashboard[[#This Row],[Fecha]],2)</f>
        <v>39</v>
      </c>
    </row>
    <row r="511" spans="2:11" x14ac:dyDescent="0.2">
      <c r="B511" s="75">
        <v>44098</v>
      </c>
      <c r="C511" s="43" t="s">
        <v>189</v>
      </c>
      <c r="D511" s="43" t="s">
        <v>165</v>
      </c>
      <c r="E511" s="43" t="s">
        <v>162</v>
      </c>
      <c r="F511" s="43" t="s">
        <v>169</v>
      </c>
      <c r="G511" s="43">
        <v>6484</v>
      </c>
      <c r="H511" s="43">
        <v>2593.6</v>
      </c>
      <c r="I511" s="43">
        <f>YEAR(tbl_dashboard[[#This Row],[Fecha]])</f>
        <v>2020</v>
      </c>
      <c r="J511" s="43" t="str">
        <f>TEXT(tbl_dashboard[[#This Row],[Fecha]],"mmmm")</f>
        <v>Setiembre</v>
      </c>
      <c r="K511" s="43">
        <f>WEEKNUM(tbl_dashboard[[#This Row],[Fecha]],2)</f>
        <v>39</v>
      </c>
    </row>
    <row r="512" spans="2:11" x14ac:dyDescent="0.2">
      <c r="B512" s="75">
        <v>44104</v>
      </c>
      <c r="C512" s="43" t="s">
        <v>190</v>
      </c>
      <c r="D512" s="43" t="s">
        <v>168</v>
      </c>
      <c r="E512" s="43" t="s">
        <v>162</v>
      </c>
      <c r="F512" s="43" t="s">
        <v>163</v>
      </c>
      <c r="G512" s="43">
        <v>2387</v>
      </c>
      <c r="H512" s="43">
        <v>501.27</v>
      </c>
      <c r="I512" s="43">
        <f>YEAR(tbl_dashboard[[#This Row],[Fecha]])</f>
        <v>2020</v>
      </c>
      <c r="J512" s="43" t="str">
        <f>TEXT(tbl_dashboard[[#This Row],[Fecha]],"mmmm")</f>
        <v>Setiembre</v>
      </c>
      <c r="K512" s="43">
        <f>WEEKNUM(tbl_dashboard[[#This Row],[Fecha]],2)</f>
        <v>40</v>
      </c>
    </row>
    <row r="513" spans="2:11" x14ac:dyDescent="0.2">
      <c r="B513" s="75">
        <v>44104</v>
      </c>
      <c r="C513" s="43" t="s">
        <v>191</v>
      </c>
      <c r="D513" s="43" t="s">
        <v>161</v>
      </c>
      <c r="E513" s="43" t="s">
        <v>162</v>
      </c>
      <c r="F513" s="43" t="s">
        <v>163</v>
      </c>
      <c r="G513" s="43">
        <v>6037</v>
      </c>
      <c r="H513" s="43">
        <v>1207.4000000000001</v>
      </c>
      <c r="I513" s="43">
        <f>YEAR(tbl_dashboard[[#This Row],[Fecha]])</f>
        <v>2020</v>
      </c>
      <c r="J513" s="43" t="str">
        <f>TEXT(tbl_dashboard[[#This Row],[Fecha]],"mmmm")</f>
        <v>Setiembre</v>
      </c>
      <c r="K513" s="43">
        <f>WEEKNUM(tbl_dashboard[[#This Row],[Fecha]],2)</f>
        <v>40</v>
      </c>
    </row>
    <row r="514" spans="2:11" x14ac:dyDescent="0.2">
      <c r="B514" s="75">
        <v>44104</v>
      </c>
      <c r="C514" s="43" t="s">
        <v>192</v>
      </c>
      <c r="D514" s="43" t="s">
        <v>165</v>
      </c>
      <c r="E514" s="43" t="s">
        <v>166</v>
      </c>
      <c r="F514" s="43" t="s">
        <v>169</v>
      </c>
      <c r="G514" s="43">
        <v>6224</v>
      </c>
      <c r="H514" s="43">
        <v>1804.96</v>
      </c>
      <c r="I514" s="43">
        <f>YEAR(tbl_dashboard[[#This Row],[Fecha]])</f>
        <v>2020</v>
      </c>
      <c r="J514" s="43" t="str">
        <f>TEXT(tbl_dashboard[[#This Row],[Fecha]],"mmmm")</f>
        <v>Setiembre</v>
      </c>
      <c r="K514" s="43">
        <f>WEEKNUM(tbl_dashboard[[#This Row],[Fecha]],2)</f>
        <v>40</v>
      </c>
    </row>
    <row r="515" spans="2:11" x14ac:dyDescent="0.2">
      <c r="B515" s="75">
        <v>44104</v>
      </c>
      <c r="C515" s="43" t="s">
        <v>193</v>
      </c>
      <c r="D515" s="43" t="s">
        <v>168</v>
      </c>
      <c r="E515" s="43" t="s">
        <v>166</v>
      </c>
      <c r="F515" s="43" t="s">
        <v>169</v>
      </c>
      <c r="G515" s="43">
        <v>11361</v>
      </c>
      <c r="H515" s="43">
        <v>3521.91</v>
      </c>
      <c r="I515" s="43">
        <f>YEAR(tbl_dashboard[[#This Row],[Fecha]])</f>
        <v>2020</v>
      </c>
      <c r="J515" s="43" t="str">
        <f>TEXT(tbl_dashboard[[#This Row],[Fecha]],"mmmm")</f>
        <v>Setiembre</v>
      </c>
      <c r="K515" s="43">
        <f>WEEKNUM(tbl_dashboard[[#This Row],[Fecha]],2)</f>
        <v>40</v>
      </c>
    </row>
    <row r="516" spans="2:11" x14ac:dyDescent="0.2">
      <c r="B516" s="75">
        <v>44104</v>
      </c>
      <c r="C516" s="43" t="s">
        <v>194</v>
      </c>
      <c r="D516" s="43" t="s">
        <v>165</v>
      </c>
      <c r="E516" s="43" t="s">
        <v>162</v>
      </c>
      <c r="F516" s="43" t="s">
        <v>163</v>
      </c>
      <c r="G516" s="43">
        <v>8199</v>
      </c>
      <c r="H516" s="43">
        <v>3443.58</v>
      </c>
      <c r="I516" s="43">
        <f>YEAR(tbl_dashboard[[#This Row],[Fecha]])</f>
        <v>2020</v>
      </c>
      <c r="J516" s="43" t="str">
        <f>TEXT(tbl_dashboard[[#This Row],[Fecha]],"mmmm")</f>
        <v>Setiembre</v>
      </c>
      <c r="K516" s="43">
        <f>WEEKNUM(tbl_dashboard[[#This Row],[Fecha]],2)</f>
        <v>40</v>
      </c>
    </row>
    <row r="517" spans="2:11" x14ac:dyDescent="0.2">
      <c r="B517" s="75">
        <v>44104</v>
      </c>
      <c r="C517" s="43" t="s">
        <v>195</v>
      </c>
      <c r="D517" s="43" t="s">
        <v>165</v>
      </c>
      <c r="E517" s="43" t="s">
        <v>166</v>
      </c>
      <c r="F517" s="43" t="s">
        <v>163</v>
      </c>
      <c r="G517" s="43">
        <v>11812</v>
      </c>
      <c r="H517" s="43">
        <v>2126.16</v>
      </c>
      <c r="I517" s="43">
        <f>YEAR(tbl_dashboard[[#This Row],[Fecha]])</f>
        <v>2020</v>
      </c>
      <c r="J517" s="43" t="str">
        <f>TEXT(tbl_dashboard[[#This Row],[Fecha]],"mmmm")</f>
        <v>Setiembre</v>
      </c>
      <c r="K517" s="43">
        <f>WEEKNUM(tbl_dashboard[[#This Row],[Fecha]],2)</f>
        <v>40</v>
      </c>
    </row>
    <row r="518" spans="2:11" x14ac:dyDescent="0.2">
      <c r="B518" s="75">
        <v>44104</v>
      </c>
      <c r="C518" s="43" t="s">
        <v>196</v>
      </c>
      <c r="D518" s="43" t="s">
        <v>165</v>
      </c>
      <c r="E518" s="43" t="s">
        <v>162</v>
      </c>
      <c r="F518" s="43" t="s">
        <v>169</v>
      </c>
      <c r="G518" s="43">
        <v>7902</v>
      </c>
      <c r="H518" s="43">
        <v>2686.68</v>
      </c>
      <c r="I518" s="43">
        <f>YEAR(tbl_dashboard[[#This Row],[Fecha]])</f>
        <v>2020</v>
      </c>
      <c r="J518" s="43" t="str">
        <f>TEXT(tbl_dashboard[[#This Row],[Fecha]],"mmmm")</f>
        <v>Setiembre</v>
      </c>
      <c r="K518" s="43">
        <f>WEEKNUM(tbl_dashboard[[#This Row],[Fecha]],2)</f>
        <v>40</v>
      </c>
    </row>
    <row r="519" spans="2:11" x14ac:dyDescent="0.2">
      <c r="B519" s="75">
        <v>44130</v>
      </c>
      <c r="C519" s="43" t="s">
        <v>160</v>
      </c>
      <c r="D519" s="43" t="s">
        <v>161</v>
      </c>
      <c r="E519" s="43" t="s">
        <v>162</v>
      </c>
      <c r="F519" s="43" t="s">
        <v>163</v>
      </c>
      <c r="G519" s="43">
        <v>1856</v>
      </c>
      <c r="H519" s="43">
        <v>835.2</v>
      </c>
      <c r="I519" s="43">
        <f>YEAR(tbl_dashboard[[#This Row],[Fecha]])</f>
        <v>2020</v>
      </c>
      <c r="J519" s="43" t="str">
        <f>TEXT(tbl_dashboard[[#This Row],[Fecha]],"mmmm")</f>
        <v>Octubre</v>
      </c>
      <c r="K519" s="43">
        <f>WEEKNUM(tbl_dashboard[[#This Row],[Fecha]],2)</f>
        <v>44</v>
      </c>
    </row>
    <row r="520" spans="2:11" x14ac:dyDescent="0.2">
      <c r="B520" s="75">
        <v>44129</v>
      </c>
      <c r="C520" s="43" t="s">
        <v>164</v>
      </c>
      <c r="D520" s="43" t="s">
        <v>165</v>
      </c>
      <c r="E520" s="43" t="s">
        <v>166</v>
      </c>
      <c r="F520" s="43" t="s">
        <v>169</v>
      </c>
      <c r="G520" s="43">
        <v>10509</v>
      </c>
      <c r="H520" s="43">
        <v>4518.87</v>
      </c>
      <c r="I520" s="43">
        <f>YEAR(tbl_dashboard[[#This Row],[Fecha]])</f>
        <v>2020</v>
      </c>
      <c r="J520" s="43" t="str">
        <f>TEXT(tbl_dashboard[[#This Row],[Fecha]],"mmmm")</f>
        <v>Octubre</v>
      </c>
      <c r="K520" s="43">
        <f>WEEKNUM(tbl_dashboard[[#This Row],[Fecha]],2)</f>
        <v>43</v>
      </c>
    </row>
    <row r="521" spans="2:11" x14ac:dyDescent="0.2">
      <c r="B521" s="75">
        <v>44129</v>
      </c>
      <c r="C521" s="43" t="s">
        <v>167</v>
      </c>
      <c r="D521" s="43" t="s">
        <v>168</v>
      </c>
      <c r="E521" s="43" t="s">
        <v>162</v>
      </c>
      <c r="F521" s="43" t="s">
        <v>169</v>
      </c>
      <c r="G521" s="43">
        <v>3871</v>
      </c>
      <c r="H521" s="43">
        <v>851.62</v>
      </c>
      <c r="I521" s="43">
        <f>YEAR(tbl_dashboard[[#This Row],[Fecha]])</f>
        <v>2020</v>
      </c>
      <c r="J521" s="43" t="str">
        <f>TEXT(tbl_dashboard[[#This Row],[Fecha]],"mmmm")</f>
        <v>Octubre</v>
      </c>
      <c r="K521" s="43">
        <f>WEEKNUM(tbl_dashboard[[#This Row],[Fecha]],2)</f>
        <v>43</v>
      </c>
    </row>
    <row r="522" spans="2:11" x14ac:dyDescent="0.2">
      <c r="B522" s="75">
        <v>44129</v>
      </c>
      <c r="C522" s="43" t="s">
        <v>170</v>
      </c>
      <c r="D522" s="43" t="s">
        <v>161</v>
      </c>
      <c r="E522" s="43" t="s">
        <v>166</v>
      </c>
      <c r="F522" s="43" t="s">
        <v>169</v>
      </c>
      <c r="G522" s="43">
        <v>8379</v>
      </c>
      <c r="H522" s="43">
        <v>3351.6</v>
      </c>
      <c r="I522" s="43">
        <f>YEAR(tbl_dashboard[[#This Row],[Fecha]])</f>
        <v>2020</v>
      </c>
      <c r="J522" s="43" t="str">
        <f>TEXT(tbl_dashboard[[#This Row],[Fecha]],"mmmm")</f>
        <v>Octubre</v>
      </c>
      <c r="K522" s="43">
        <f>WEEKNUM(tbl_dashboard[[#This Row],[Fecha]],2)</f>
        <v>43</v>
      </c>
    </row>
    <row r="523" spans="2:11" x14ac:dyDescent="0.2">
      <c r="B523" s="75">
        <v>44129</v>
      </c>
      <c r="C523" s="43" t="s">
        <v>171</v>
      </c>
      <c r="D523" s="43" t="s">
        <v>165</v>
      </c>
      <c r="E523" s="43" t="s">
        <v>166</v>
      </c>
      <c r="F523" s="43" t="s">
        <v>169</v>
      </c>
      <c r="G523" s="43">
        <v>2883</v>
      </c>
      <c r="H523" s="43">
        <v>1124.3699999999999</v>
      </c>
      <c r="I523" s="43">
        <f>YEAR(tbl_dashboard[[#This Row],[Fecha]])</f>
        <v>2020</v>
      </c>
      <c r="J523" s="43" t="str">
        <f>TEXT(tbl_dashboard[[#This Row],[Fecha]],"mmmm")</f>
        <v>Octubre</v>
      </c>
      <c r="K523" s="43">
        <f>WEEKNUM(tbl_dashboard[[#This Row],[Fecha]],2)</f>
        <v>43</v>
      </c>
    </row>
    <row r="524" spans="2:11" x14ac:dyDescent="0.2">
      <c r="B524" s="75">
        <v>44128</v>
      </c>
      <c r="C524" s="43" t="s">
        <v>172</v>
      </c>
      <c r="D524" s="43" t="s">
        <v>165</v>
      </c>
      <c r="E524" s="43" t="s">
        <v>166</v>
      </c>
      <c r="F524" s="43" t="s">
        <v>169</v>
      </c>
      <c r="G524" s="43">
        <v>4370</v>
      </c>
      <c r="H524" s="43">
        <v>1835.4</v>
      </c>
      <c r="I524" s="43">
        <f>YEAR(tbl_dashboard[[#This Row],[Fecha]])</f>
        <v>2020</v>
      </c>
      <c r="J524" s="43" t="str">
        <f>TEXT(tbl_dashboard[[#This Row],[Fecha]],"mmmm")</f>
        <v>Octubre</v>
      </c>
      <c r="K524" s="43">
        <f>WEEKNUM(tbl_dashboard[[#This Row],[Fecha]],2)</f>
        <v>43</v>
      </c>
    </row>
    <row r="525" spans="2:11" x14ac:dyDescent="0.2">
      <c r="B525" s="75">
        <v>44135</v>
      </c>
      <c r="C525" s="43" t="s">
        <v>173</v>
      </c>
      <c r="D525" s="43" t="s">
        <v>161</v>
      </c>
      <c r="E525" s="43" t="s">
        <v>162</v>
      </c>
      <c r="F525" s="43" t="s">
        <v>163</v>
      </c>
      <c r="G525" s="43">
        <v>3059</v>
      </c>
      <c r="H525" s="43">
        <v>703.57</v>
      </c>
      <c r="I525" s="43">
        <f>YEAR(tbl_dashboard[[#This Row],[Fecha]])</f>
        <v>2020</v>
      </c>
      <c r="J525" s="43" t="str">
        <f>TEXT(tbl_dashboard[[#This Row],[Fecha]],"mmmm")</f>
        <v>Octubre</v>
      </c>
      <c r="K525" s="43">
        <f>WEEKNUM(tbl_dashboard[[#This Row],[Fecha]],2)</f>
        <v>44</v>
      </c>
    </row>
    <row r="526" spans="2:11" x14ac:dyDescent="0.2">
      <c r="B526" s="75">
        <v>44135</v>
      </c>
      <c r="C526" s="43" t="s">
        <v>174</v>
      </c>
      <c r="D526" s="43" t="s">
        <v>165</v>
      </c>
      <c r="E526" s="43" t="s">
        <v>162</v>
      </c>
      <c r="F526" s="43" t="s">
        <v>163</v>
      </c>
      <c r="G526" s="43">
        <v>2967</v>
      </c>
      <c r="H526" s="43">
        <v>504.39</v>
      </c>
      <c r="I526" s="43">
        <f>YEAR(tbl_dashboard[[#This Row],[Fecha]])</f>
        <v>2020</v>
      </c>
      <c r="J526" s="43" t="str">
        <f>TEXT(tbl_dashboard[[#This Row],[Fecha]],"mmmm")</f>
        <v>Octubre</v>
      </c>
      <c r="K526" s="43">
        <f>WEEKNUM(tbl_dashboard[[#This Row],[Fecha]],2)</f>
        <v>44</v>
      </c>
    </row>
    <row r="527" spans="2:11" x14ac:dyDescent="0.2">
      <c r="B527" s="75">
        <v>44135</v>
      </c>
      <c r="C527" s="43" t="s">
        <v>175</v>
      </c>
      <c r="D527" s="43" t="s">
        <v>168</v>
      </c>
      <c r="E527" s="43" t="s">
        <v>162</v>
      </c>
      <c r="F527" s="43" t="s">
        <v>169</v>
      </c>
      <c r="G527" s="43">
        <v>7081</v>
      </c>
      <c r="H527" s="43">
        <v>3115.64</v>
      </c>
      <c r="I527" s="43">
        <f>YEAR(tbl_dashboard[[#This Row],[Fecha]])</f>
        <v>2020</v>
      </c>
      <c r="J527" s="43" t="str">
        <f>TEXT(tbl_dashboard[[#This Row],[Fecha]],"mmmm")</f>
        <v>Octubre</v>
      </c>
      <c r="K527" s="43">
        <f>WEEKNUM(tbl_dashboard[[#This Row],[Fecha]],2)</f>
        <v>44</v>
      </c>
    </row>
    <row r="528" spans="2:11" x14ac:dyDescent="0.2">
      <c r="B528" s="75">
        <v>44135</v>
      </c>
      <c r="C528" s="43" t="s">
        <v>176</v>
      </c>
      <c r="D528" s="43" t="s">
        <v>161</v>
      </c>
      <c r="E528" s="43" t="s">
        <v>166</v>
      </c>
      <c r="F528" s="43" t="s">
        <v>169</v>
      </c>
      <c r="G528" s="43">
        <v>7512</v>
      </c>
      <c r="H528" s="43">
        <v>3155.04</v>
      </c>
      <c r="I528" s="43">
        <f>YEAR(tbl_dashboard[[#This Row],[Fecha]])</f>
        <v>2020</v>
      </c>
      <c r="J528" s="43" t="str">
        <f>TEXT(tbl_dashboard[[#This Row],[Fecha]],"mmmm")</f>
        <v>Octubre</v>
      </c>
      <c r="K528" s="43">
        <f>WEEKNUM(tbl_dashboard[[#This Row],[Fecha]],2)</f>
        <v>44</v>
      </c>
    </row>
    <row r="529" spans="2:11" x14ac:dyDescent="0.2">
      <c r="B529" s="75">
        <v>44135</v>
      </c>
      <c r="C529" s="43" t="s">
        <v>177</v>
      </c>
      <c r="D529" s="43" t="s">
        <v>165</v>
      </c>
      <c r="E529" s="43" t="s">
        <v>162</v>
      </c>
      <c r="F529" s="43" t="s">
        <v>163</v>
      </c>
      <c r="G529" s="43">
        <v>2330</v>
      </c>
      <c r="H529" s="43">
        <v>559.20000000000005</v>
      </c>
      <c r="I529" s="43">
        <f>YEAR(tbl_dashboard[[#This Row],[Fecha]])</f>
        <v>2020</v>
      </c>
      <c r="J529" s="43" t="str">
        <f>TEXT(tbl_dashboard[[#This Row],[Fecha]],"mmmm")</f>
        <v>Octubre</v>
      </c>
      <c r="K529" s="43">
        <f>WEEKNUM(tbl_dashboard[[#This Row],[Fecha]],2)</f>
        <v>44</v>
      </c>
    </row>
    <row r="530" spans="2:11" x14ac:dyDescent="0.2">
      <c r="B530" s="75">
        <v>44135</v>
      </c>
      <c r="C530" s="43" t="s">
        <v>178</v>
      </c>
      <c r="D530" s="43" t="s">
        <v>168</v>
      </c>
      <c r="E530" s="43" t="s">
        <v>166</v>
      </c>
      <c r="F530" s="43" t="s">
        <v>163</v>
      </c>
      <c r="G530" s="43">
        <v>7403</v>
      </c>
      <c r="H530" s="43">
        <v>1850.75</v>
      </c>
      <c r="I530" s="43">
        <f>YEAR(tbl_dashboard[[#This Row],[Fecha]])</f>
        <v>2020</v>
      </c>
      <c r="J530" s="43" t="str">
        <f>TEXT(tbl_dashboard[[#This Row],[Fecha]],"mmmm")</f>
        <v>Octubre</v>
      </c>
      <c r="K530" s="43">
        <f>WEEKNUM(tbl_dashboard[[#This Row],[Fecha]],2)</f>
        <v>44</v>
      </c>
    </row>
    <row r="531" spans="2:11" x14ac:dyDescent="0.2">
      <c r="B531" s="75">
        <v>44134</v>
      </c>
      <c r="C531" s="43" t="s">
        <v>179</v>
      </c>
      <c r="D531" s="43" t="s">
        <v>168</v>
      </c>
      <c r="E531" s="43" t="s">
        <v>166</v>
      </c>
      <c r="F531" s="43" t="s">
        <v>169</v>
      </c>
      <c r="G531" s="43">
        <v>9547</v>
      </c>
      <c r="H531" s="43">
        <v>4105.21</v>
      </c>
      <c r="I531" s="43">
        <f>YEAR(tbl_dashboard[[#This Row],[Fecha]])</f>
        <v>2020</v>
      </c>
      <c r="J531" s="43" t="str">
        <f>TEXT(tbl_dashboard[[#This Row],[Fecha]],"mmmm")</f>
        <v>Octubre</v>
      </c>
      <c r="K531" s="43">
        <f>WEEKNUM(tbl_dashboard[[#This Row],[Fecha]],2)</f>
        <v>44</v>
      </c>
    </row>
    <row r="532" spans="2:11" x14ac:dyDescent="0.2">
      <c r="B532" s="75">
        <v>44130</v>
      </c>
      <c r="C532" s="43" t="s">
        <v>180</v>
      </c>
      <c r="D532" s="43" t="s">
        <v>165</v>
      </c>
      <c r="E532" s="43" t="s">
        <v>166</v>
      </c>
      <c r="F532" s="43" t="s">
        <v>163</v>
      </c>
      <c r="G532" s="43">
        <v>1126</v>
      </c>
      <c r="H532" s="43">
        <v>236.46</v>
      </c>
      <c r="I532" s="43">
        <f>YEAR(tbl_dashboard[[#This Row],[Fecha]])</f>
        <v>2020</v>
      </c>
      <c r="J532" s="43" t="str">
        <f>TEXT(tbl_dashboard[[#This Row],[Fecha]],"mmmm")</f>
        <v>Octubre</v>
      </c>
      <c r="K532" s="43">
        <f>WEEKNUM(tbl_dashboard[[#This Row],[Fecha]],2)</f>
        <v>44</v>
      </c>
    </row>
    <row r="533" spans="2:11" x14ac:dyDescent="0.2">
      <c r="B533" s="75">
        <v>44129</v>
      </c>
      <c r="C533" s="43" t="s">
        <v>181</v>
      </c>
      <c r="D533" s="43" t="s">
        <v>165</v>
      </c>
      <c r="E533" s="43" t="s">
        <v>166</v>
      </c>
      <c r="F533" s="43" t="s">
        <v>169</v>
      </c>
      <c r="G533" s="43">
        <v>4869</v>
      </c>
      <c r="H533" s="43">
        <v>1558.08</v>
      </c>
      <c r="I533" s="43">
        <f>YEAR(tbl_dashboard[[#This Row],[Fecha]])</f>
        <v>2020</v>
      </c>
      <c r="J533" s="43" t="str">
        <f>TEXT(tbl_dashboard[[#This Row],[Fecha]],"mmmm")</f>
        <v>Octubre</v>
      </c>
      <c r="K533" s="43">
        <f>WEEKNUM(tbl_dashboard[[#This Row],[Fecha]],2)</f>
        <v>43</v>
      </c>
    </row>
    <row r="534" spans="2:11" x14ac:dyDescent="0.2">
      <c r="B534" s="75">
        <v>44129</v>
      </c>
      <c r="C534" s="43" t="s">
        <v>182</v>
      </c>
      <c r="D534" s="43" t="s">
        <v>165</v>
      </c>
      <c r="E534" s="43" t="s">
        <v>162</v>
      </c>
      <c r="F534" s="43" t="s">
        <v>169</v>
      </c>
      <c r="G534" s="43">
        <v>6586</v>
      </c>
      <c r="H534" s="43">
        <v>1185.48</v>
      </c>
      <c r="I534" s="43">
        <f>YEAR(tbl_dashboard[[#This Row],[Fecha]])</f>
        <v>2020</v>
      </c>
      <c r="J534" s="43" t="str">
        <f>TEXT(tbl_dashboard[[#This Row],[Fecha]],"mmmm")</f>
        <v>Octubre</v>
      </c>
      <c r="K534" s="43">
        <f>WEEKNUM(tbl_dashboard[[#This Row],[Fecha]],2)</f>
        <v>43</v>
      </c>
    </row>
    <row r="535" spans="2:11" x14ac:dyDescent="0.2">
      <c r="B535" s="75">
        <v>44129</v>
      </c>
      <c r="C535" s="43" t="s">
        <v>183</v>
      </c>
      <c r="D535" s="43" t="s">
        <v>161</v>
      </c>
      <c r="E535" s="43" t="s">
        <v>162</v>
      </c>
      <c r="F535" s="43" t="s">
        <v>169</v>
      </c>
      <c r="G535" s="43">
        <v>4326</v>
      </c>
      <c r="H535" s="43">
        <v>1384.32</v>
      </c>
      <c r="I535" s="43">
        <f>YEAR(tbl_dashboard[[#This Row],[Fecha]])</f>
        <v>2020</v>
      </c>
      <c r="J535" s="43" t="str">
        <f>TEXT(tbl_dashboard[[#This Row],[Fecha]],"mmmm")</f>
        <v>Octubre</v>
      </c>
      <c r="K535" s="43">
        <f>WEEKNUM(tbl_dashboard[[#This Row],[Fecha]],2)</f>
        <v>43</v>
      </c>
    </row>
    <row r="536" spans="2:11" x14ac:dyDescent="0.2">
      <c r="B536" s="75">
        <v>44129</v>
      </c>
      <c r="C536" s="43" t="s">
        <v>184</v>
      </c>
      <c r="D536" s="43" t="s">
        <v>161</v>
      </c>
      <c r="E536" s="43" t="s">
        <v>162</v>
      </c>
      <c r="F536" s="43" t="s">
        <v>169</v>
      </c>
      <c r="G536" s="43">
        <v>10424</v>
      </c>
      <c r="H536" s="43">
        <v>4169.6000000000004</v>
      </c>
      <c r="I536" s="43">
        <f>YEAR(tbl_dashboard[[#This Row],[Fecha]])</f>
        <v>2020</v>
      </c>
      <c r="J536" s="43" t="str">
        <f>TEXT(tbl_dashboard[[#This Row],[Fecha]],"mmmm")</f>
        <v>Octubre</v>
      </c>
      <c r="K536" s="43">
        <f>WEEKNUM(tbl_dashboard[[#This Row],[Fecha]],2)</f>
        <v>43</v>
      </c>
    </row>
    <row r="537" spans="2:11" x14ac:dyDescent="0.2">
      <c r="B537" s="75">
        <v>44128</v>
      </c>
      <c r="C537" s="43" t="s">
        <v>185</v>
      </c>
      <c r="D537" s="43" t="s">
        <v>165</v>
      </c>
      <c r="E537" s="43" t="s">
        <v>166</v>
      </c>
      <c r="F537" s="43" t="s">
        <v>169</v>
      </c>
      <c r="G537" s="43">
        <v>2836</v>
      </c>
      <c r="H537" s="43">
        <v>1077.68</v>
      </c>
      <c r="I537" s="43">
        <f>YEAR(tbl_dashboard[[#This Row],[Fecha]])</f>
        <v>2020</v>
      </c>
      <c r="J537" s="43" t="str">
        <f>TEXT(tbl_dashboard[[#This Row],[Fecha]],"mmmm")</f>
        <v>Octubre</v>
      </c>
      <c r="K537" s="43">
        <f>WEEKNUM(tbl_dashboard[[#This Row],[Fecha]],2)</f>
        <v>43</v>
      </c>
    </row>
    <row r="538" spans="2:11" x14ac:dyDescent="0.2">
      <c r="B538" s="75">
        <v>44134</v>
      </c>
      <c r="C538" s="43" t="s">
        <v>186</v>
      </c>
      <c r="D538" s="43" t="s">
        <v>168</v>
      </c>
      <c r="E538" s="43" t="s">
        <v>166</v>
      </c>
      <c r="F538" s="43" t="s">
        <v>163</v>
      </c>
      <c r="G538" s="43">
        <v>8040</v>
      </c>
      <c r="H538" s="43">
        <v>3376.8</v>
      </c>
      <c r="I538" s="43">
        <f>YEAR(tbl_dashboard[[#This Row],[Fecha]])</f>
        <v>2020</v>
      </c>
      <c r="J538" s="43" t="str">
        <f>TEXT(tbl_dashboard[[#This Row],[Fecha]],"mmmm")</f>
        <v>Octubre</v>
      </c>
      <c r="K538" s="43">
        <f>WEEKNUM(tbl_dashboard[[#This Row],[Fecha]],2)</f>
        <v>44</v>
      </c>
    </row>
    <row r="539" spans="2:11" x14ac:dyDescent="0.2">
      <c r="B539" s="75">
        <v>44134</v>
      </c>
      <c r="C539" s="43" t="s">
        <v>187</v>
      </c>
      <c r="D539" s="43" t="s">
        <v>168</v>
      </c>
      <c r="E539" s="43" t="s">
        <v>162</v>
      </c>
      <c r="F539" s="43" t="s">
        <v>163</v>
      </c>
      <c r="G539" s="43">
        <v>10226</v>
      </c>
      <c r="H539" s="43">
        <v>4090.4</v>
      </c>
      <c r="I539" s="43">
        <f>YEAR(tbl_dashboard[[#This Row],[Fecha]])</f>
        <v>2020</v>
      </c>
      <c r="J539" s="43" t="str">
        <f>TEXT(tbl_dashboard[[#This Row],[Fecha]],"mmmm")</f>
        <v>Octubre</v>
      </c>
      <c r="K539" s="43">
        <f>WEEKNUM(tbl_dashboard[[#This Row],[Fecha]],2)</f>
        <v>44</v>
      </c>
    </row>
    <row r="540" spans="2:11" x14ac:dyDescent="0.2">
      <c r="B540" s="75">
        <v>44134</v>
      </c>
      <c r="C540" s="43" t="s">
        <v>188</v>
      </c>
      <c r="D540" s="43" t="s">
        <v>165</v>
      </c>
      <c r="E540" s="43" t="s">
        <v>162</v>
      </c>
      <c r="F540" s="43" t="s">
        <v>169</v>
      </c>
      <c r="G540" s="43">
        <v>11163</v>
      </c>
      <c r="H540" s="43">
        <v>4911.72</v>
      </c>
      <c r="I540" s="43">
        <f>YEAR(tbl_dashboard[[#This Row],[Fecha]])</f>
        <v>2020</v>
      </c>
      <c r="J540" s="43" t="str">
        <f>TEXT(tbl_dashboard[[#This Row],[Fecha]],"mmmm")</f>
        <v>Octubre</v>
      </c>
      <c r="K540" s="43">
        <f>WEEKNUM(tbl_dashboard[[#This Row],[Fecha]],2)</f>
        <v>44</v>
      </c>
    </row>
    <row r="541" spans="2:11" x14ac:dyDescent="0.2">
      <c r="B541" s="75">
        <v>44165</v>
      </c>
      <c r="C541" s="43" t="s">
        <v>160</v>
      </c>
      <c r="D541" s="43" t="s">
        <v>165</v>
      </c>
      <c r="E541" s="43" t="s">
        <v>166</v>
      </c>
      <c r="F541" s="43" t="s">
        <v>169</v>
      </c>
      <c r="G541" s="43">
        <v>9151</v>
      </c>
      <c r="H541" s="43">
        <v>3294.36</v>
      </c>
      <c r="I541" s="43">
        <f>YEAR(tbl_dashboard[[#This Row],[Fecha]])</f>
        <v>2020</v>
      </c>
      <c r="J541" s="43" t="str">
        <f>TEXT(tbl_dashboard[[#This Row],[Fecha]],"mmmm")</f>
        <v>Noviembre</v>
      </c>
      <c r="K541" s="43">
        <f>WEEKNUM(tbl_dashboard[[#This Row],[Fecha]],2)</f>
        <v>49</v>
      </c>
    </row>
    <row r="542" spans="2:11" x14ac:dyDescent="0.2">
      <c r="B542" s="75">
        <v>44165</v>
      </c>
      <c r="C542" s="43" t="s">
        <v>164</v>
      </c>
      <c r="D542" s="43" t="s">
        <v>165</v>
      </c>
      <c r="E542" s="43" t="s">
        <v>166</v>
      </c>
      <c r="F542" s="43" t="s">
        <v>163</v>
      </c>
      <c r="G542" s="43">
        <v>9686</v>
      </c>
      <c r="H542" s="43">
        <v>2324.64</v>
      </c>
      <c r="I542" s="43">
        <f>YEAR(tbl_dashboard[[#This Row],[Fecha]])</f>
        <v>2020</v>
      </c>
      <c r="J542" s="43" t="str">
        <f>TEXT(tbl_dashboard[[#This Row],[Fecha]],"mmmm")</f>
        <v>Noviembre</v>
      </c>
      <c r="K542" s="43">
        <f>WEEKNUM(tbl_dashboard[[#This Row],[Fecha]],2)</f>
        <v>49</v>
      </c>
    </row>
    <row r="543" spans="2:11" x14ac:dyDescent="0.2">
      <c r="B543" s="75">
        <v>44165</v>
      </c>
      <c r="C543" s="43" t="s">
        <v>167</v>
      </c>
      <c r="D543" s="43" t="s">
        <v>161</v>
      </c>
      <c r="E543" s="43" t="s">
        <v>166</v>
      </c>
      <c r="F543" s="43" t="s">
        <v>163</v>
      </c>
      <c r="G543" s="43">
        <v>3964</v>
      </c>
      <c r="H543" s="43">
        <v>1228.8399999999999</v>
      </c>
      <c r="I543" s="43">
        <f>YEAR(tbl_dashboard[[#This Row],[Fecha]])</f>
        <v>2020</v>
      </c>
      <c r="J543" s="43" t="str">
        <f>TEXT(tbl_dashboard[[#This Row],[Fecha]],"mmmm")</f>
        <v>Noviembre</v>
      </c>
      <c r="K543" s="43">
        <f>WEEKNUM(tbl_dashboard[[#This Row],[Fecha]],2)</f>
        <v>49</v>
      </c>
    </row>
    <row r="544" spans="2:11" x14ac:dyDescent="0.2">
      <c r="B544" s="75">
        <v>44165</v>
      </c>
      <c r="C544" s="43" t="s">
        <v>170</v>
      </c>
      <c r="D544" s="43" t="s">
        <v>165</v>
      </c>
      <c r="E544" s="43" t="s">
        <v>166</v>
      </c>
      <c r="F544" s="43" t="s">
        <v>169</v>
      </c>
      <c r="G544" s="43">
        <v>4859</v>
      </c>
      <c r="H544" s="43">
        <v>1506.29</v>
      </c>
      <c r="I544" s="43">
        <f>YEAR(tbl_dashboard[[#This Row],[Fecha]])</f>
        <v>2020</v>
      </c>
      <c r="J544" s="43" t="str">
        <f>TEXT(tbl_dashboard[[#This Row],[Fecha]],"mmmm")</f>
        <v>Noviembre</v>
      </c>
      <c r="K544" s="43">
        <f>WEEKNUM(tbl_dashboard[[#This Row],[Fecha]],2)</f>
        <v>49</v>
      </c>
    </row>
    <row r="545" spans="2:11" x14ac:dyDescent="0.2">
      <c r="B545" s="75">
        <v>44161</v>
      </c>
      <c r="C545" s="43" t="s">
        <v>171</v>
      </c>
      <c r="D545" s="43" t="s">
        <v>165</v>
      </c>
      <c r="E545" s="43" t="s">
        <v>166</v>
      </c>
      <c r="F545" s="43" t="s">
        <v>163</v>
      </c>
      <c r="G545" s="43">
        <v>6118</v>
      </c>
      <c r="H545" s="43">
        <v>2630.74</v>
      </c>
      <c r="I545" s="43">
        <f>YEAR(tbl_dashboard[[#This Row],[Fecha]])</f>
        <v>2020</v>
      </c>
      <c r="J545" s="43" t="str">
        <f>TEXT(tbl_dashboard[[#This Row],[Fecha]],"mmmm")</f>
        <v>Noviembre</v>
      </c>
      <c r="K545" s="43">
        <f>WEEKNUM(tbl_dashboard[[#This Row],[Fecha]],2)</f>
        <v>48</v>
      </c>
    </row>
    <row r="546" spans="2:11" x14ac:dyDescent="0.2">
      <c r="B546" s="75">
        <v>44160</v>
      </c>
      <c r="C546" s="43" t="s">
        <v>172</v>
      </c>
      <c r="D546" s="43" t="s">
        <v>168</v>
      </c>
      <c r="E546" s="43" t="s">
        <v>162</v>
      </c>
      <c r="F546" s="43" t="s">
        <v>169</v>
      </c>
      <c r="G546" s="43">
        <v>1645</v>
      </c>
      <c r="H546" s="43">
        <v>592.20000000000005</v>
      </c>
      <c r="I546" s="43">
        <f>YEAR(tbl_dashboard[[#This Row],[Fecha]])</f>
        <v>2020</v>
      </c>
      <c r="J546" s="43" t="str">
        <f>TEXT(tbl_dashboard[[#This Row],[Fecha]],"mmmm")</f>
        <v>Noviembre</v>
      </c>
      <c r="K546" s="43">
        <f>WEEKNUM(tbl_dashboard[[#This Row],[Fecha]],2)</f>
        <v>48</v>
      </c>
    </row>
    <row r="547" spans="2:11" x14ac:dyDescent="0.2">
      <c r="B547" s="75">
        <v>44160</v>
      </c>
      <c r="C547" s="43" t="s">
        <v>173</v>
      </c>
      <c r="D547" s="43" t="s">
        <v>165</v>
      </c>
      <c r="E547" s="43" t="s">
        <v>166</v>
      </c>
      <c r="F547" s="43" t="s">
        <v>169</v>
      </c>
      <c r="G547" s="43">
        <v>2175</v>
      </c>
      <c r="H547" s="43">
        <v>543.75</v>
      </c>
      <c r="I547" s="43">
        <f>YEAR(tbl_dashboard[[#This Row],[Fecha]])</f>
        <v>2020</v>
      </c>
      <c r="J547" s="43" t="str">
        <f>TEXT(tbl_dashboard[[#This Row],[Fecha]],"mmmm")</f>
        <v>Noviembre</v>
      </c>
      <c r="K547" s="43">
        <f>WEEKNUM(tbl_dashboard[[#This Row],[Fecha]],2)</f>
        <v>48</v>
      </c>
    </row>
    <row r="548" spans="2:11" x14ac:dyDescent="0.2">
      <c r="B548" s="75">
        <v>44160</v>
      </c>
      <c r="C548" s="43" t="s">
        <v>174</v>
      </c>
      <c r="D548" s="43" t="s">
        <v>161</v>
      </c>
      <c r="E548" s="43" t="s">
        <v>166</v>
      </c>
      <c r="F548" s="43" t="s">
        <v>169</v>
      </c>
      <c r="G548" s="43">
        <v>11819</v>
      </c>
      <c r="H548" s="43">
        <v>4609.41</v>
      </c>
      <c r="I548" s="43">
        <f>YEAR(tbl_dashboard[[#This Row],[Fecha]])</f>
        <v>2020</v>
      </c>
      <c r="J548" s="43" t="str">
        <f>TEXT(tbl_dashboard[[#This Row],[Fecha]],"mmmm")</f>
        <v>Noviembre</v>
      </c>
      <c r="K548" s="43">
        <f>WEEKNUM(tbl_dashboard[[#This Row],[Fecha]],2)</f>
        <v>48</v>
      </c>
    </row>
    <row r="549" spans="2:11" x14ac:dyDescent="0.2">
      <c r="B549" s="75">
        <v>44160</v>
      </c>
      <c r="C549" s="43" t="s">
        <v>175</v>
      </c>
      <c r="D549" s="43" t="s">
        <v>161</v>
      </c>
      <c r="E549" s="43" t="s">
        <v>162</v>
      </c>
      <c r="F549" s="43" t="s">
        <v>169</v>
      </c>
      <c r="G549" s="43">
        <v>3119</v>
      </c>
      <c r="H549" s="43">
        <v>499.04</v>
      </c>
      <c r="I549" s="43">
        <f>YEAR(tbl_dashboard[[#This Row],[Fecha]])</f>
        <v>2020</v>
      </c>
      <c r="J549" s="43" t="str">
        <f>TEXT(tbl_dashboard[[#This Row],[Fecha]],"mmmm")</f>
        <v>Noviembre</v>
      </c>
      <c r="K549" s="43">
        <f>WEEKNUM(tbl_dashboard[[#This Row],[Fecha]],2)</f>
        <v>48</v>
      </c>
    </row>
    <row r="550" spans="2:11" x14ac:dyDescent="0.2">
      <c r="B550" s="75">
        <v>44159</v>
      </c>
      <c r="C550" s="43" t="s">
        <v>176</v>
      </c>
      <c r="D550" s="43" t="s">
        <v>161</v>
      </c>
      <c r="E550" s="43" t="s">
        <v>162</v>
      </c>
      <c r="F550" s="43" t="s">
        <v>169</v>
      </c>
      <c r="G550" s="43">
        <v>6518</v>
      </c>
      <c r="H550" s="43">
        <v>1499.14</v>
      </c>
      <c r="I550" s="43">
        <f>YEAR(tbl_dashboard[[#This Row],[Fecha]])</f>
        <v>2020</v>
      </c>
      <c r="J550" s="43" t="str">
        <f>TEXT(tbl_dashboard[[#This Row],[Fecha]],"mmmm")</f>
        <v>Noviembre</v>
      </c>
      <c r="K550" s="43">
        <f>WEEKNUM(tbl_dashboard[[#This Row],[Fecha]],2)</f>
        <v>48</v>
      </c>
    </row>
    <row r="551" spans="2:11" x14ac:dyDescent="0.2">
      <c r="B551" s="75">
        <v>44159</v>
      </c>
      <c r="C551" s="43" t="s">
        <v>177</v>
      </c>
      <c r="D551" s="43" t="s">
        <v>168</v>
      </c>
      <c r="E551" s="43" t="s">
        <v>166</v>
      </c>
      <c r="F551" s="43" t="s">
        <v>163</v>
      </c>
      <c r="G551" s="43">
        <v>5884</v>
      </c>
      <c r="H551" s="43">
        <v>1412.16</v>
      </c>
      <c r="I551" s="43">
        <f>YEAR(tbl_dashboard[[#This Row],[Fecha]])</f>
        <v>2020</v>
      </c>
      <c r="J551" s="43" t="str">
        <f>TEXT(tbl_dashboard[[#This Row],[Fecha]],"mmmm")</f>
        <v>Noviembre</v>
      </c>
      <c r="K551" s="43">
        <f>WEEKNUM(tbl_dashboard[[#This Row],[Fecha]],2)</f>
        <v>48</v>
      </c>
    </row>
    <row r="552" spans="2:11" x14ac:dyDescent="0.2">
      <c r="B552" s="75">
        <v>44159</v>
      </c>
      <c r="C552" s="43" t="s">
        <v>178</v>
      </c>
      <c r="D552" s="43" t="s">
        <v>161</v>
      </c>
      <c r="E552" s="43" t="s">
        <v>162</v>
      </c>
      <c r="F552" s="43" t="s">
        <v>163</v>
      </c>
      <c r="G552" s="43">
        <v>5452</v>
      </c>
      <c r="H552" s="43">
        <v>1635.6</v>
      </c>
      <c r="I552" s="43">
        <f>YEAR(tbl_dashboard[[#This Row],[Fecha]])</f>
        <v>2020</v>
      </c>
      <c r="J552" s="43" t="str">
        <f>TEXT(tbl_dashboard[[#This Row],[Fecha]],"mmmm")</f>
        <v>Noviembre</v>
      </c>
      <c r="K552" s="43">
        <f>WEEKNUM(tbl_dashboard[[#This Row],[Fecha]],2)</f>
        <v>48</v>
      </c>
    </row>
    <row r="553" spans="2:11" x14ac:dyDescent="0.2">
      <c r="B553" s="75">
        <v>44159</v>
      </c>
      <c r="C553" s="43" t="s">
        <v>179</v>
      </c>
      <c r="D553" s="43" t="s">
        <v>161</v>
      </c>
      <c r="E553" s="43" t="s">
        <v>162</v>
      </c>
      <c r="F553" s="43" t="s">
        <v>169</v>
      </c>
      <c r="G553" s="43">
        <v>7268</v>
      </c>
      <c r="H553" s="43">
        <v>3197.92</v>
      </c>
      <c r="I553" s="43">
        <f>YEAR(tbl_dashboard[[#This Row],[Fecha]])</f>
        <v>2020</v>
      </c>
      <c r="J553" s="43" t="str">
        <f>TEXT(tbl_dashboard[[#This Row],[Fecha]],"mmmm")</f>
        <v>Noviembre</v>
      </c>
      <c r="K553" s="43">
        <f>WEEKNUM(tbl_dashboard[[#This Row],[Fecha]],2)</f>
        <v>48</v>
      </c>
    </row>
    <row r="554" spans="2:11" x14ac:dyDescent="0.2">
      <c r="B554" s="75">
        <v>44159</v>
      </c>
      <c r="C554" s="43" t="s">
        <v>180</v>
      </c>
      <c r="D554" s="43" t="s">
        <v>168</v>
      </c>
      <c r="E554" s="43" t="s">
        <v>166</v>
      </c>
      <c r="F554" s="43" t="s">
        <v>169</v>
      </c>
      <c r="G554" s="43">
        <v>10802</v>
      </c>
      <c r="H554" s="43">
        <v>2052.38</v>
      </c>
      <c r="I554" s="43">
        <f>YEAR(tbl_dashboard[[#This Row],[Fecha]])</f>
        <v>2020</v>
      </c>
      <c r="J554" s="43" t="str">
        <f>TEXT(tbl_dashboard[[#This Row],[Fecha]],"mmmm")</f>
        <v>Noviembre</v>
      </c>
      <c r="K554" s="43">
        <f>WEEKNUM(tbl_dashboard[[#This Row],[Fecha]],2)</f>
        <v>48</v>
      </c>
    </row>
    <row r="555" spans="2:11" x14ac:dyDescent="0.2">
      <c r="B555" s="75">
        <v>44196</v>
      </c>
      <c r="C555" s="43" t="s">
        <v>160</v>
      </c>
      <c r="D555" s="43" t="s">
        <v>161</v>
      </c>
      <c r="E555" s="43" t="s">
        <v>162</v>
      </c>
      <c r="F555" s="43" t="s">
        <v>163</v>
      </c>
      <c r="G555" s="43">
        <v>1852</v>
      </c>
      <c r="H555" s="43">
        <v>722.28</v>
      </c>
      <c r="I555" s="43">
        <f>YEAR(tbl_dashboard[[#This Row],[Fecha]])</f>
        <v>2020</v>
      </c>
      <c r="J555" s="43" t="str">
        <f>TEXT(tbl_dashboard[[#This Row],[Fecha]],"mmmm")</f>
        <v>Diciembre</v>
      </c>
      <c r="K555" s="43">
        <f>WEEKNUM(tbl_dashboard[[#This Row],[Fecha]],2)</f>
        <v>53</v>
      </c>
    </row>
    <row r="556" spans="2:11" x14ac:dyDescent="0.2">
      <c r="B556" s="75">
        <v>44196</v>
      </c>
      <c r="C556" s="43" t="s">
        <v>164</v>
      </c>
      <c r="D556" s="43" t="s">
        <v>168</v>
      </c>
      <c r="E556" s="43" t="s">
        <v>162</v>
      </c>
      <c r="F556" s="43" t="s">
        <v>163</v>
      </c>
      <c r="G556" s="43">
        <v>10163</v>
      </c>
      <c r="H556" s="43">
        <v>1930.97</v>
      </c>
      <c r="I556" s="43">
        <f>YEAR(tbl_dashboard[[#This Row],[Fecha]])</f>
        <v>2020</v>
      </c>
      <c r="J556" s="43" t="str">
        <f>TEXT(tbl_dashboard[[#This Row],[Fecha]],"mmmm")</f>
        <v>Diciembre</v>
      </c>
      <c r="K556" s="43">
        <f>WEEKNUM(tbl_dashboard[[#This Row],[Fecha]],2)</f>
        <v>53</v>
      </c>
    </row>
    <row r="557" spans="2:11" x14ac:dyDescent="0.2">
      <c r="B557" s="75">
        <v>44195</v>
      </c>
      <c r="C557" s="43" t="s">
        <v>167</v>
      </c>
      <c r="D557" s="43" t="s">
        <v>168</v>
      </c>
      <c r="E557" s="43" t="s">
        <v>162</v>
      </c>
      <c r="F557" s="43" t="s">
        <v>169</v>
      </c>
      <c r="G557" s="43">
        <v>2325</v>
      </c>
      <c r="H557" s="43">
        <v>953.25</v>
      </c>
      <c r="I557" s="43">
        <f>YEAR(tbl_dashboard[[#This Row],[Fecha]])</f>
        <v>2020</v>
      </c>
      <c r="J557" s="43" t="str">
        <f>TEXT(tbl_dashboard[[#This Row],[Fecha]],"mmmm")</f>
        <v>Diciembre</v>
      </c>
      <c r="K557" s="43">
        <f>WEEKNUM(tbl_dashboard[[#This Row],[Fecha]],2)</f>
        <v>53</v>
      </c>
    </row>
    <row r="558" spans="2:11" x14ac:dyDescent="0.2">
      <c r="B558" s="75">
        <v>44191</v>
      </c>
      <c r="C558" s="43" t="s">
        <v>170</v>
      </c>
      <c r="D558" s="43" t="s">
        <v>168</v>
      </c>
      <c r="E558" s="43" t="s">
        <v>162</v>
      </c>
      <c r="F558" s="43" t="s">
        <v>163</v>
      </c>
      <c r="G558" s="43">
        <v>9471</v>
      </c>
      <c r="H558" s="43">
        <v>4261.95</v>
      </c>
      <c r="I558" s="43">
        <f>YEAR(tbl_dashboard[[#This Row],[Fecha]])</f>
        <v>2020</v>
      </c>
      <c r="J558" s="43" t="str">
        <f>TEXT(tbl_dashboard[[#This Row],[Fecha]],"mmmm")</f>
        <v>Diciembre</v>
      </c>
      <c r="K558" s="43">
        <f>WEEKNUM(tbl_dashboard[[#This Row],[Fecha]],2)</f>
        <v>52</v>
      </c>
    </row>
    <row r="559" spans="2:11" x14ac:dyDescent="0.2">
      <c r="B559" s="75">
        <v>44190</v>
      </c>
      <c r="C559" s="43" t="s">
        <v>171</v>
      </c>
      <c r="D559" s="43" t="s">
        <v>168</v>
      </c>
      <c r="E559" s="43" t="s">
        <v>162</v>
      </c>
      <c r="F559" s="43" t="s">
        <v>169</v>
      </c>
      <c r="G559" s="43">
        <v>6253</v>
      </c>
      <c r="H559" s="43">
        <v>2000.96</v>
      </c>
      <c r="I559" s="43">
        <f>YEAR(tbl_dashboard[[#This Row],[Fecha]])</f>
        <v>2020</v>
      </c>
      <c r="J559" s="43" t="str">
        <f>TEXT(tbl_dashboard[[#This Row],[Fecha]],"mmmm")</f>
        <v>Diciembre</v>
      </c>
      <c r="K559" s="43">
        <f>WEEKNUM(tbl_dashboard[[#This Row],[Fecha]],2)</f>
        <v>52</v>
      </c>
    </row>
    <row r="560" spans="2:11" x14ac:dyDescent="0.2">
      <c r="B560" s="75">
        <v>44190</v>
      </c>
      <c r="C560" s="43" t="s">
        <v>172</v>
      </c>
      <c r="D560" s="43" t="s">
        <v>165</v>
      </c>
      <c r="E560" s="43" t="s">
        <v>166</v>
      </c>
      <c r="F560" s="43" t="s">
        <v>169</v>
      </c>
      <c r="G560" s="43">
        <v>7365</v>
      </c>
      <c r="H560" s="43">
        <v>1325.7</v>
      </c>
      <c r="I560" s="43">
        <f>YEAR(tbl_dashboard[[#This Row],[Fecha]])</f>
        <v>2020</v>
      </c>
      <c r="J560" s="43" t="str">
        <f>TEXT(tbl_dashboard[[#This Row],[Fecha]],"mmmm")</f>
        <v>Diciembre</v>
      </c>
      <c r="K560" s="43">
        <f>WEEKNUM(tbl_dashboard[[#This Row],[Fecha]],2)</f>
        <v>52</v>
      </c>
    </row>
    <row r="561" spans="2:11" x14ac:dyDescent="0.2">
      <c r="B561" s="75">
        <v>44190</v>
      </c>
      <c r="C561" s="43" t="s">
        <v>173</v>
      </c>
      <c r="D561" s="43" t="s">
        <v>168</v>
      </c>
      <c r="E561" s="43" t="s">
        <v>162</v>
      </c>
      <c r="F561" s="43" t="s">
        <v>169</v>
      </c>
      <c r="G561" s="43">
        <v>5086</v>
      </c>
      <c r="H561" s="43">
        <v>1932.68</v>
      </c>
      <c r="I561" s="43">
        <f>YEAR(tbl_dashboard[[#This Row],[Fecha]])</f>
        <v>2020</v>
      </c>
      <c r="J561" s="43" t="str">
        <f>TEXT(tbl_dashboard[[#This Row],[Fecha]],"mmmm")</f>
        <v>Diciembre</v>
      </c>
      <c r="K561" s="43">
        <f>WEEKNUM(tbl_dashboard[[#This Row],[Fecha]],2)</f>
        <v>52</v>
      </c>
    </row>
    <row r="562" spans="2:11" x14ac:dyDescent="0.2">
      <c r="B562" s="75">
        <v>44190</v>
      </c>
      <c r="C562" s="43" t="s">
        <v>174</v>
      </c>
      <c r="D562" s="43" t="s">
        <v>161</v>
      </c>
      <c r="E562" s="43" t="s">
        <v>162</v>
      </c>
      <c r="F562" s="43" t="s">
        <v>169</v>
      </c>
      <c r="G562" s="43">
        <v>10887</v>
      </c>
      <c r="H562" s="43">
        <v>1741.92</v>
      </c>
      <c r="I562" s="43">
        <f>YEAR(tbl_dashboard[[#This Row],[Fecha]])</f>
        <v>2020</v>
      </c>
      <c r="J562" s="43" t="str">
        <f>TEXT(tbl_dashboard[[#This Row],[Fecha]],"mmmm")</f>
        <v>Diciembre</v>
      </c>
      <c r="K562" s="43">
        <f>WEEKNUM(tbl_dashboard[[#This Row],[Fecha]],2)</f>
        <v>52</v>
      </c>
    </row>
    <row r="563" spans="2:11" x14ac:dyDescent="0.2">
      <c r="B563" s="75">
        <v>44189</v>
      </c>
      <c r="C563" s="43" t="s">
        <v>175</v>
      </c>
      <c r="D563" s="43" t="s">
        <v>165</v>
      </c>
      <c r="E563" s="43" t="s">
        <v>162</v>
      </c>
      <c r="F563" s="43" t="s">
        <v>169</v>
      </c>
      <c r="G563" s="43">
        <v>4599</v>
      </c>
      <c r="H563" s="43">
        <v>2069.5500000000002</v>
      </c>
      <c r="I563" s="43">
        <f>YEAR(tbl_dashboard[[#This Row],[Fecha]])</f>
        <v>2020</v>
      </c>
      <c r="J563" s="43" t="str">
        <f>TEXT(tbl_dashboard[[#This Row],[Fecha]],"mmmm")</f>
        <v>Diciembre</v>
      </c>
      <c r="K563" s="43">
        <f>WEEKNUM(tbl_dashboard[[#This Row],[Fecha]],2)</f>
        <v>52</v>
      </c>
    </row>
    <row r="564" spans="2:11" x14ac:dyDescent="0.2">
      <c r="B564" s="75">
        <v>44195</v>
      </c>
      <c r="C564" s="43" t="s">
        <v>176</v>
      </c>
      <c r="D564" s="43" t="s">
        <v>168</v>
      </c>
      <c r="E564" s="43" t="s">
        <v>166</v>
      </c>
      <c r="F564" s="43" t="s">
        <v>163</v>
      </c>
      <c r="G564" s="43">
        <v>1344</v>
      </c>
      <c r="H564" s="43">
        <v>537.6</v>
      </c>
      <c r="I564" s="43">
        <f>YEAR(tbl_dashboard[[#This Row],[Fecha]])</f>
        <v>2020</v>
      </c>
      <c r="J564" s="43" t="str">
        <f>TEXT(tbl_dashboard[[#This Row],[Fecha]],"mmmm")</f>
        <v>Diciembre</v>
      </c>
      <c r="K564" s="43">
        <f>WEEKNUM(tbl_dashboard[[#This Row],[Fecha]],2)</f>
        <v>53</v>
      </c>
    </row>
    <row r="565" spans="2:11" x14ac:dyDescent="0.2">
      <c r="B565" s="75">
        <v>44195</v>
      </c>
      <c r="C565" s="43" t="s">
        <v>177</v>
      </c>
      <c r="D565" s="43" t="s">
        <v>165</v>
      </c>
      <c r="E565" s="43" t="s">
        <v>162</v>
      </c>
      <c r="F565" s="43" t="s">
        <v>163</v>
      </c>
      <c r="G565" s="43">
        <v>7937</v>
      </c>
      <c r="H565" s="43">
        <v>2063.62</v>
      </c>
      <c r="I565" s="43">
        <f>YEAR(tbl_dashboard[[#This Row],[Fecha]])</f>
        <v>2020</v>
      </c>
      <c r="J565" s="43" t="str">
        <f>TEXT(tbl_dashboard[[#This Row],[Fecha]],"mmmm")</f>
        <v>Diciembre</v>
      </c>
      <c r="K565" s="43">
        <f>WEEKNUM(tbl_dashboard[[#This Row],[Fecha]],2)</f>
        <v>53</v>
      </c>
    </row>
    <row r="566" spans="2:11" x14ac:dyDescent="0.2">
      <c r="B566" s="75">
        <v>44195</v>
      </c>
      <c r="C566" s="43" t="s">
        <v>178</v>
      </c>
      <c r="D566" s="43" t="s">
        <v>165</v>
      </c>
      <c r="E566" s="43" t="s">
        <v>166</v>
      </c>
      <c r="F566" s="43" t="s">
        <v>169</v>
      </c>
      <c r="G566" s="43">
        <v>8324</v>
      </c>
      <c r="H566" s="43">
        <v>1415.08</v>
      </c>
      <c r="I566" s="43">
        <f>YEAR(tbl_dashboard[[#This Row],[Fecha]])</f>
        <v>2020</v>
      </c>
      <c r="J566" s="43" t="str">
        <f>TEXT(tbl_dashboard[[#This Row],[Fecha]],"mmmm")</f>
        <v>Diciembre</v>
      </c>
      <c r="K566" s="43">
        <f>WEEKNUM(tbl_dashboard[[#This Row],[Fecha]],2)</f>
        <v>53</v>
      </c>
    </row>
    <row r="567" spans="2:11" x14ac:dyDescent="0.2">
      <c r="B567" s="75">
        <v>44195</v>
      </c>
      <c r="C567" s="43" t="s">
        <v>179</v>
      </c>
      <c r="D567" s="43" t="s">
        <v>165</v>
      </c>
      <c r="E567" s="43" t="s">
        <v>166</v>
      </c>
      <c r="F567" s="43" t="s">
        <v>169</v>
      </c>
      <c r="G567" s="43">
        <v>1066</v>
      </c>
      <c r="H567" s="43">
        <v>362.44</v>
      </c>
      <c r="I567" s="43">
        <f>YEAR(tbl_dashboard[[#This Row],[Fecha]])</f>
        <v>2020</v>
      </c>
      <c r="J567" s="43" t="str">
        <f>TEXT(tbl_dashboard[[#This Row],[Fecha]],"mmmm")</f>
        <v>Diciembre</v>
      </c>
      <c r="K567" s="43">
        <f>WEEKNUM(tbl_dashboard[[#This Row],[Fecha]],2)</f>
        <v>53</v>
      </c>
    </row>
    <row r="568" spans="2:11" x14ac:dyDescent="0.2">
      <c r="B568" s="75">
        <v>44195</v>
      </c>
      <c r="C568" s="43" t="s">
        <v>180</v>
      </c>
      <c r="D568" s="43" t="s">
        <v>161</v>
      </c>
      <c r="E568" s="43" t="s">
        <v>162</v>
      </c>
      <c r="F568" s="43" t="s">
        <v>163</v>
      </c>
      <c r="G568" s="43">
        <v>7547</v>
      </c>
      <c r="H568" s="43">
        <v>2037.69</v>
      </c>
      <c r="I568" s="43">
        <f>YEAR(tbl_dashboard[[#This Row],[Fecha]])</f>
        <v>2020</v>
      </c>
      <c r="J568" s="43" t="str">
        <f>TEXT(tbl_dashboard[[#This Row],[Fecha]],"mmmm")</f>
        <v>Diciembre</v>
      </c>
      <c r="K568" s="43">
        <f>WEEKNUM(tbl_dashboard[[#This Row],[Fecha]],2)</f>
        <v>53</v>
      </c>
    </row>
    <row r="569" spans="2:11" x14ac:dyDescent="0.2">
      <c r="B569" s="75">
        <v>44195</v>
      </c>
      <c r="C569" s="43" t="s">
        <v>181</v>
      </c>
      <c r="D569" s="43" t="s">
        <v>168</v>
      </c>
      <c r="E569" s="43" t="s">
        <v>166</v>
      </c>
      <c r="F569" s="43" t="s">
        <v>163</v>
      </c>
      <c r="G569" s="43">
        <v>7046</v>
      </c>
      <c r="H569" s="43">
        <v>3170.7</v>
      </c>
      <c r="I569" s="43">
        <f>YEAR(tbl_dashboard[[#This Row],[Fecha]])</f>
        <v>2020</v>
      </c>
      <c r="J569" s="43" t="str">
        <f>TEXT(tbl_dashboard[[#This Row],[Fecha]],"mmmm")</f>
        <v>Diciembre</v>
      </c>
      <c r="K569" s="43">
        <f>WEEKNUM(tbl_dashboard[[#This Row],[Fecha]],2)</f>
        <v>53</v>
      </c>
    </row>
    <row r="570" spans="2:11" x14ac:dyDescent="0.2">
      <c r="B570" s="75">
        <v>44195</v>
      </c>
      <c r="C570" s="43" t="s">
        <v>182</v>
      </c>
      <c r="D570" s="43" t="s">
        <v>168</v>
      </c>
      <c r="E570" s="43" t="s">
        <v>166</v>
      </c>
      <c r="F570" s="43" t="s">
        <v>169</v>
      </c>
      <c r="G570" s="43">
        <v>3861</v>
      </c>
      <c r="H570" s="43">
        <v>1505.79</v>
      </c>
      <c r="I570" s="43">
        <f>YEAR(tbl_dashboard[[#This Row],[Fecha]])</f>
        <v>2020</v>
      </c>
      <c r="J570" s="43" t="str">
        <f>TEXT(tbl_dashboard[[#This Row],[Fecha]],"mmmm")</f>
        <v>Diciembre</v>
      </c>
      <c r="K570" s="43">
        <f>WEEKNUM(tbl_dashboard[[#This Row],[Fecha]],2)</f>
        <v>53</v>
      </c>
    </row>
    <row r="571" spans="2:11" x14ac:dyDescent="0.2">
      <c r="B571" s="75">
        <v>44191</v>
      </c>
      <c r="C571" s="43" t="s">
        <v>183</v>
      </c>
      <c r="D571" s="43" t="s">
        <v>168</v>
      </c>
      <c r="E571" s="43" t="s">
        <v>162</v>
      </c>
      <c r="F571" s="43" t="s">
        <v>163</v>
      </c>
      <c r="G571" s="43">
        <v>7607</v>
      </c>
      <c r="H571" s="43">
        <v>1369.26</v>
      </c>
      <c r="I571" s="43">
        <f>YEAR(tbl_dashboard[[#This Row],[Fecha]])</f>
        <v>2020</v>
      </c>
      <c r="J571" s="43" t="str">
        <f>TEXT(tbl_dashboard[[#This Row],[Fecha]],"mmmm")</f>
        <v>Diciembre</v>
      </c>
      <c r="K571" s="43">
        <f>WEEKNUM(tbl_dashboard[[#This Row],[Fecha]],2)</f>
        <v>52</v>
      </c>
    </row>
    <row r="572" spans="2:11" x14ac:dyDescent="0.2">
      <c r="B572" s="75">
        <v>44190</v>
      </c>
      <c r="C572" s="43" t="s">
        <v>184</v>
      </c>
      <c r="D572" s="43" t="s">
        <v>165</v>
      </c>
      <c r="E572" s="43" t="s">
        <v>162</v>
      </c>
      <c r="F572" s="43" t="s">
        <v>169</v>
      </c>
      <c r="G572" s="43">
        <v>11883</v>
      </c>
      <c r="H572" s="43">
        <v>2970.75</v>
      </c>
      <c r="I572" s="43">
        <f>YEAR(tbl_dashboard[[#This Row],[Fecha]])</f>
        <v>2020</v>
      </c>
      <c r="J572" s="43" t="str">
        <f>TEXT(tbl_dashboard[[#This Row],[Fecha]],"mmmm")</f>
        <v>Diciembre</v>
      </c>
      <c r="K572" s="43">
        <f>WEEKNUM(tbl_dashboard[[#This Row],[Fecha]],2)</f>
        <v>52</v>
      </c>
    </row>
    <row r="573" spans="2:11" x14ac:dyDescent="0.2">
      <c r="B573" s="75">
        <v>44190</v>
      </c>
      <c r="C573" s="43" t="s">
        <v>185</v>
      </c>
      <c r="D573" s="43" t="s">
        <v>168</v>
      </c>
      <c r="E573" s="43" t="s">
        <v>166</v>
      </c>
      <c r="F573" s="43" t="s">
        <v>169</v>
      </c>
      <c r="G573" s="43">
        <v>11539</v>
      </c>
      <c r="H573" s="43">
        <v>4730.99</v>
      </c>
      <c r="I573" s="43">
        <f>YEAR(tbl_dashboard[[#This Row],[Fecha]])</f>
        <v>2020</v>
      </c>
      <c r="J573" s="43" t="str">
        <f>TEXT(tbl_dashboard[[#This Row],[Fecha]],"mmmm")</f>
        <v>Diciembre</v>
      </c>
      <c r="K573" s="43">
        <f>WEEKNUM(tbl_dashboard[[#This Row],[Fecha]],2)</f>
        <v>52</v>
      </c>
    </row>
    <row r="574" spans="2:11" x14ac:dyDescent="0.2">
      <c r="B574" s="75">
        <v>44190</v>
      </c>
      <c r="C574" s="43" t="s">
        <v>186</v>
      </c>
      <c r="D574" s="43" t="s">
        <v>161</v>
      </c>
      <c r="E574" s="43" t="s">
        <v>162</v>
      </c>
      <c r="F574" s="43" t="s">
        <v>169</v>
      </c>
      <c r="G574" s="43">
        <v>7770</v>
      </c>
      <c r="H574" s="43">
        <v>2331</v>
      </c>
      <c r="I574" s="43">
        <f>YEAR(tbl_dashboard[[#This Row],[Fecha]])</f>
        <v>2020</v>
      </c>
      <c r="J574" s="43" t="str">
        <f>TEXT(tbl_dashboard[[#This Row],[Fecha]],"mmmm")</f>
        <v>Diciembre</v>
      </c>
      <c r="K574" s="43">
        <f>WEEKNUM(tbl_dashboard[[#This Row],[Fecha]],2)</f>
        <v>52</v>
      </c>
    </row>
    <row r="575" spans="2:11" x14ac:dyDescent="0.2">
      <c r="B575" s="75">
        <v>44190</v>
      </c>
      <c r="C575" s="43" t="s">
        <v>187</v>
      </c>
      <c r="D575" s="43" t="s">
        <v>165</v>
      </c>
      <c r="E575" s="43" t="s">
        <v>162</v>
      </c>
      <c r="F575" s="43" t="s">
        <v>169</v>
      </c>
      <c r="G575" s="43">
        <v>2280</v>
      </c>
      <c r="H575" s="43">
        <v>410.4</v>
      </c>
      <c r="I575" s="43">
        <f>YEAR(tbl_dashboard[[#This Row],[Fecha]])</f>
        <v>2020</v>
      </c>
      <c r="J575" s="43" t="str">
        <f>TEXT(tbl_dashboard[[#This Row],[Fecha]],"mmmm")</f>
        <v>Diciembre</v>
      </c>
      <c r="K575" s="43">
        <f>WEEKNUM(tbl_dashboard[[#This Row],[Fecha]],2)</f>
        <v>52</v>
      </c>
    </row>
    <row r="576" spans="2:11" x14ac:dyDescent="0.2">
      <c r="B576" s="75">
        <v>44190</v>
      </c>
      <c r="C576" s="43" t="s">
        <v>188</v>
      </c>
      <c r="D576" s="43" t="s">
        <v>161</v>
      </c>
      <c r="E576" s="43" t="s">
        <v>162</v>
      </c>
      <c r="F576" s="43" t="s">
        <v>169</v>
      </c>
      <c r="G576" s="43">
        <v>5844</v>
      </c>
      <c r="H576" s="43">
        <v>2279.16</v>
      </c>
      <c r="I576" s="43">
        <f>YEAR(tbl_dashboard[[#This Row],[Fecha]])</f>
        <v>2020</v>
      </c>
      <c r="J576" s="43" t="str">
        <f>TEXT(tbl_dashboard[[#This Row],[Fecha]],"mmmm")</f>
        <v>Diciembre</v>
      </c>
      <c r="K576" s="43">
        <f>WEEKNUM(tbl_dashboard[[#This Row],[Fecha]],2)</f>
        <v>52</v>
      </c>
    </row>
    <row r="577" spans="2:11" x14ac:dyDescent="0.2">
      <c r="B577" s="75">
        <v>43496</v>
      </c>
      <c r="C577" s="43" t="s">
        <v>160</v>
      </c>
      <c r="D577" s="43" t="s">
        <v>161</v>
      </c>
      <c r="E577" s="43" t="s">
        <v>162</v>
      </c>
      <c r="F577" s="43" t="s">
        <v>163</v>
      </c>
      <c r="G577" s="43">
        <v>10241</v>
      </c>
      <c r="H577" s="43">
        <v>4403.63</v>
      </c>
      <c r="I577" s="43">
        <f>YEAR(tbl_dashboard[[#This Row],[Fecha]])</f>
        <v>2019</v>
      </c>
      <c r="J577" s="43" t="str">
        <f>TEXT(tbl_dashboard[[#This Row],[Fecha]],"mmmm")</f>
        <v>Enero</v>
      </c>
      <c r="K577" s="43">
        <f>WEEKNUM(tbl_dashboard[[#This Row],[Fecha]],2)</f>
        <v>5</v>
      </c>
    </row>
    <row r="578" spans="2:11" x14ac:dyDescent="0.2">
      <c r="B578" s="75">
        <v>43496</v>
      </c>
      <c r="C578" s="43" t="s">
        <v>164</v>
      </c>
      <c r="D578" s="43" t="s">
        <v>165</v>
      </c>
      <c r="E578" s="43" t="s">
        <v>166</v>
      </c>
      <c r="F578" s="43" t="s">
        <v>163</v>
      </c>
      <c r="G578" s="43">
        <v>5394</v>
      </c>
      <c r="H578" s="43">
        <v>1780.02</v>
      </c>
      <c r="I578" s="43">
        <f>YEAR(tbl_dashboard[[#This Row],[Fecha]])</f>
        <v>2019</v>
      </c>
      <c r="J578" s="43" t="str">
        <f>TEXT(tbl_dashboard[[#This Row],[Fecha]],"mmmm")</f>
        <v>Enero</v>
      </c>
      <c r="K578" s="43">
        <f>WEEKNUM(tbl_dashboard[[#This Row],[Fecha]],2)</f>
        <v>5</v>
      </c>
    </row>
    <row r="579" spans="2:11" x14ac:dyDescent="0.2">
      <c r="B579" s="75">
        <v>43496</v>
      </c>
      <c r="C579" s="43" t="s">
        <v>167</v>
      </c>
      <c r="D579" s="43" t="s">
        <v>168</v>
      </c>
      <c r="E579" s="43" t="s">
        <v>166</v>
      </c>
      <c r="F579" s="43" t="s">
        <v>169</v>
      </c>
      <c r="G579" s="43">
        <v>8005</v>
      </c>
      <c r="H579" s="43">
        <v>1200.75</v>
      </c>
      <c r="I579" s="43">
        <f>YEAR(tbl_dashboard[[#This Row],[Fecha]])</f>
        <v>2019</v>
      </c>
      <c r="J579" s="43" t="str">
        <f>TEXT(tbl_dashboard[[#This Row],[Fecha]],"mmmm")</f>
        <v>Enero</v>
      </c>
      <c r="K579" s="43">
        <f>WEEKNUM(tbl_dashboard[[#This Row],[Fecha]],2)</f>
        <v>5</v>
      </c>
    </row>
    <row r="580" spans="2:11" x14ac:dyDescent="0.2">
      <c r="B580" s="75">
        <v>43496</v>
      </c>
      <c r="C580" s="43" t="s">
        <v>170</v>
      </c>
      <c r="D580" s="43" t="s">
        <v>165</v>
      </c>
      <c r="E580" s="43" t="s">
        <v>162</v>
      </c>
      <c r="F580" s="43" t="s">
        <v>169</v>
      </c>
      <c r="G580" s="43">
        <v>8408</v>
      </c>
      <c r="H580" s="43">
        <v>1765.68</v>
      </c>
      <c r="I580" s="43">
        <f>YEAR(tbl_dashboard[[#This Row],[Fecha]])</f>
        <v>2019</v>
      </c>
      <c r="J580" s="43" t="str">
        <f>TEXT(tbl_dashboard[[#This Row],[Fecha]],"mmmm")</f>
        <v>Enero</v>
      </c>
      <c r="K580" s="43">
        <f>WEEKNUM(tbl_dashboard[[#This Row],[Fecha]],2)</f>
        <v>5</v>
      </c>
    </row>
    <row r="581" spans="2:11" x14ac:dyDescent="0.2">
      <c r="B581" s="75">
        <v>43496</v>
      </c>
      <c r="C581" s="43" t="s">
        <v>171</v>
      </c>
      <c r="D581" s="43" t="s">
        <v>165</v>
      </c>
      <c r="E581" s="43" t="s">
        <v>162</v>
      </c>
      <c r="F581" s="43" t="s">
        <v>163</v>
      </c>
      <c r="G581" s="43">
        <v>2681</v>
      </c>
      <c r="H581" s="43">
        <v>643.44000000000005</v>
      </c>
      <c r="I581" s="43">
        <f>YEAR(tbl_dashboard[[#This Row],[Fecha]])</f>
        <v>2019</v>
      </c>
      <c r="J581" s="43" t="str">
        <f>TEXT(tbl_dashboard[[#This Row],[Fecha]],"mmmm")</f>
        <v>Enero</v>
      </c>
      <c r="K581" s="43">
        <f>WEEKNUM(tbl_dashboard[[#This Row],[Fecha]],2)</f>
        <v>5</v>
      </c>
    </row>
    <row r="582" spans="2:11" x14ac:dyDescent="0.2">
      <c r="B582" s="75">
        <v>43496</v>
      </c>
      <c r="C582" s="43" t="s">
        <v>172</v>
      </c>
      <c r="D582" s="43" t="s">
        <v>165</v>
      </c>
      <c r="E582" s="43" t="s">
        <v>162</v>
      </c>
      <c r="F582" s="43" t="s">
        <v>163</v>
      </c>
      <c r="G582" s="43">
        <v>9118</v>
      </c>
      <c r="H582" s="43">
        <v>2644.22</v>
      </c>
      <c r="I582" s="43">
        <f>YEAR(tbl_dashboard[[#This Row],[Fecha]])</f>
        <v>2019</v>
      </c>
      <c r="J582" s="43" t="str">
        <f>TEXT(tbl_dashboard[[#This Row],[Fecha]],"mmmm")</f>
        <v>Enero</v>
      </c>
      <c r="K582" s="43">
        <f>WEEKNUM(tbl_dashboard[[#This Row],[Fecha]],2)</f>
        <v>5</v>
      </c>
    </row>
    <row r="583" spans="2:11" x14ac:dyDescent="0.2">
      <c r="B583" s="75">
        <v>43495</v>
      </c>
      <c r="C583" s="43" t="s">
        <v>173</v>
      </c>
      <c r="D583" s="43" t="s">
        <v>161</v>
      </c>
      <c r="E583" s="43" t="s">
        <v>166</v>
      </c>
      <c r="F583" s="43" t="s">
        <v>169</v>
      </c>
      <c r="G583" s="43">
        <v>9492</v>
      </c>
      <c r="H583" s="43">
        <v>4176.4799999999996</v>
      </c>
      <c r="I583" s="43">
        <f>YEAR(tbl_dashboard[[#This Row],[Fecha]])</f>
        <v>2019</v>
      </c>
      <c r="J583" s="43" t="str">
        <f>TEXT(tbl_dashboard[[#This Row],[Fecha]],"mmmm")</f>
        <v>Enero</v>
      </c>
      <c r="K583" s="43">
        <f>WEEKNUM(tbl_dashboard[[#This Row],[Fecha]],2)</f>
        <v>5</v>
      </c>
    </row>
    <row r="584" spans="2:11" x14ac:dyDescent="0.2">
      <c r="B584" s="75">
        <v>43491</v>
      </c>
      <c r="C584" s="43" t="s">
        <v>174</v>
      </c>
      <c r="D584" s="43" t="s">
        <v>165</v>
      </c>
      <c r="E584" s="43" t="s">
        <v>166</v>
      </c>
      <c r="F584" s="43" t="s">
        <v>163</v>
      </c>
      <c r="G584" s="43">
        <v>7574</v>
      </c>
      <c r="H584" s="43">
        <v>1969.24</v>
      </c>
      <c r="I584" s="43">
        <f>YEAR(tbl_dashboard[[#This Row],[Fecha]])</f>
        <v>2019</v>
      </c>
      <c r="J584" s="43" t="str">
        <f>TEXT(tbl_dashboard[[#This Row],[Fecha]],"mmmm")</f>
        <v>Enero</v>
      </c>
      <c r="K584" s="43">
        <f>WEEKNUM(tbl_dashboard[[#This Row],[Fecha]],2)</f>
        <v>4</v>
      </c>
    </row>
    <row r="585" spans="2:11" x14ac:dyDescent="0.2">
      <c r="B585" s="75">
        <v>43490</v>
      </c>
      <c r="C585" s="43" t="s">
        <v>175</v>
      </c>
      <c r="D585" s="43" t="s">
        <v>168</v>
      </c>
      <c r="E585" s="43" t="s">
        <v>166</v>
      </c>
      <c r="F585" s="43" t="s">
        <v>169</v>
      </c>
      <c r="G585" s="43">
        <v>10313</v>
      </c>
      <c r="H585" s="43">
        <v>2062.6</v>
      </c>
      <c r="I585" s="43">
        <f>YEAR(tbl_dashboard[[#This Row],[Fecha]])</f>
        <v>2019</v>
      </c>
      <c r="J585" s="43" t="str">
        <f>TEXT(tbl_dashboard[[#This Row],[Fecha]],"mmmm")</f>
        <v>Enero</v>
      </c>
      <c r="K585" s="43">
        <f>WEEKNUM(tbl_dashboard[[#This Row],[Fecha]],2)</f>
        <v>4</v>
      </c>
    </row>
    <row r="586" spans="2:11" x14ac:dyDescent="0.2">
      <c r="B586" s="75">
        <v>43490</v>
      </c>
      <c r="C586" s="43" t="s">
        <v>176</v>
      </c>
      <c r="D586" s="43" t="s">
        <v>161</v>
      </c>
      <c r="E586" s="43" t="s">
        <v>166</v>
      </c>
      <c r="F586" s="43" t="s">
        <v>169</v>
      </c>
      <c r="G586" s="43">
        <v>8762</v>
      </c>
      <c r="H586" s="43">
        <v>1840.02</v>
      </c>
      <c r="I586" s="43">
        <f>YEAR(tbl_dashboard[[#This Row],[Fecha]])</f>
        <v>2019</v>
      </c>
      <c r="J586" s="43" t="str">
        <f>TEXT(tbl_dashboard[[#This Row],[Fecha]],"mmmm")</f>
        <v>Enero</v>
      </c>
      <c r="K586" s="43">
        <f>WEEKNUM(tbl_dashboard[[#This Row],[Fecha]],2)</f>
        <v>4</v>
      </c>
    </row>
    <row r="587" spans="2:11" x14ac:dyDescent="0.2">
      <c r="B587" s="75">
        <v>43490</v>
      </c>
      <c r="C587" s="43" t="s">
        <v>177</v>
      </c>
      <c r="D587" s="43" t="s">
        <v>165</v>
      </c>
      <c r="E587" s="43" t="s">
        <v>166</v>
      </c>
      <c r="F587" s="43" t="s">
        <v>169</v>
      </c>
      <c r="G587" s="43">
        <v>1617</v>
      </c>
      <c r="H587" s="43">
        <v>614.46</v>
      </c>
      <c r="I587" s="43">
        <f>YEAR(tbl_dashboard[[#This Row],[Fecha]])</f>
        <v>2019</v>
      </c>
      <c r="J587" s="43" t="str">
        <f>TEXT(tbl_dashboard[[#This Row],[Fecha]],"mmmm")</f>
        <v>Enero</v>
      </c>
      <c r="K587" s="43">
        <f>WEEKNUM(tbl_dashboard[[#This Row],[Fecha]],2)</f>
        <v>4</v>
      </c>
    </row>
    <row r="588" spans="2:11" x14ac:dyDescent="0.2">
      <c r="B588" s="75">
        <v>43490</v>
      </c>
      <c r="C588" s="43" t="s">
        <v>178</v>
      </c>
      <c r="D588" s="43" t="s">
        <v>168</v>
      </c>
      <c r="E588" s="43" t="s">
        <v>166</v>
      </c>
      <c r="F588" s="43" t="s">
        <v>169</v>
      </c>
      <c r="G588" s="43">
        <v>10731</v>
      </c>
      <c r="H588" s="43">
        <v>4614.33</v>
      </c>
      <c r="I588" s="43">
        <f>YEAR(tbl_dashboard[[#This Row],[Fecha]])</f>
        <v>2019</v>
      </c>
      <c r="J588" s="43" t="str">
        <f>TEXT(tbl_dashboard[[#This Row],[Fecha]],"mmmm")</f>
        <v>Enero</v>
      </c>
      <c r="K588" s="43">
        <f>WEEKNUM(tbl_dashboard[[#This Row],[Fecha]],2)</f>
        <v>4</v>
      </c>
    </row>
    <row r="589" spans="2:11" x14ac:dyDescent="0.2">
      <c r="B589" s="75">
        <v>43489</v>
      </c>
      <c r="C589" s="43" t="s">
        <v>179</v>
      </c>
      <c r="D589" s="43" t="s">
        <v>168</v>
      </c>
      <c r="E589" s="43" t="s">
        <v>166</v>
      </c>
      <c r="F589" s="43" t="s">
        <v>169</v>
      </c>
      <c r="G589" s="43">
        <v>11798</v>
      </c>
      <c r="H589" s="43">
        <v>2595.56</v>
      </c>
      <c r="I589" s="43">
        <f>YEAR(tbl_dashboard[[#This Row],[Fecha]])</f>
        <v>2019</v>
      </c>
      <c r="J589" s="43" t="str">
        <f>TEXT(tbl_dashboard[[#This Row],[Fecha]],"mmmm")</f>
        <v>Enero</v>
      </c>
      <c r="K589" s="43">
        <f>WEEKNUM(tbl_dashboard[[#This Row],[Fecha]],2)</f>
        <v>4</v>
      </c>
    </row>
    <row r="590" spans="2:11" x14ac:dyDescent="0.2">
      <c r="B590" s="75">
        <v>43495</v>
      </c>
      <c r="C590" s="43" t="s">
        <v>180</v>
      </c>
      <c r="D590" s="43" t="s">
        <v>165</v>
      </c>
      <c r="E590" s="43" t="s">
        <v>162</v>
      </c>
      <c r="F590" s="43" t="s">
        <v>163</v>
      </c>
      <c r="G590" s="43">
        <v>6626</v>
      </c>
      <c r="H590" s="43">
        <v>1523.98</v>
      </c>
      <c r="I590" s="43">
        <f>YEAR(tbl_dashboard[[#This Row],[Fecha]])</f>
        <v>2019</v>
      </c>
      <c r="J590" s="43" t="str">
        <f>TEXT(tbl_dashboard[[#This Row],[Fecha]],"mmmm")</f>
        <v>Enero</v>
      </c>
      <c r="K590" s="43">
        <f>WEEKNUM(tbl_dashboard[[#This Row],[Fecha]],2)</f>
        <v>5</v>
      </c>
    </row>
    <row r="591" spans="2:11" x14ac:dyDescent="0.2">
      <c r="B591" s="75">
        <v>43495</v>
      </c>
      <c r="C591" s="43" t="s">
        <v>181</v>
      </c>
      <c r="D591" s="43" t="s">
        <v>165</v>
      </c>
      <c r="E591" s="43" t="s">
        <v>162</v>
      </c>
      <c r="F591" s="43" t="s">
        <v>163</v>
      </c>
      <c r="G591" s="43">
        <v>2165</v>
      </c>
      <c r="H591" s="43">
        <v>476.3</v>
      </c>
      <c r="I591" s="43">
        <f>YEAR(tbl_dashboard[[#This Row],[Fecha]])</f>
        <v>2019</v>
      </c>
      <c r="J591" s="43" t="str">
        <f>TEXT(tbl_dashboard[[#This Row],[Fecha]],"mmmm")</f>
        <v>Enero</v>
      </c>
      <c r="K591" s="43">
        <f>WEEKNUM(tbl_dashboard[[#This Row],[Fecha]],2)</f>
        <v>5</v>
      </c>
    </row>
    <row r="592" spans="2:11" x14ac:dyDescent="0.2">
      <c r="B592" s="75">
        <v>43495</v>
      </c>
      <c r="C592" s="43" t="s">
        <v>182</v>
      </c>
      <c r="D592" s="43" t="s">
        <v>165</v>
      </c>
      <c r="E592" s="43" t="s">
        <v>166</v>
      </c>
      <c r="F592" s="43" t="s">
        <v>169</v>
      </c>
      <c r="G592" s="43">
        <v>11064</v>
      </c>
      <c r="H592" s="43">
        <v>2655.36</v>
      </c>
      <c r="I592" s="43">
        <f>YEAR(tbl_dashboard[[#This Row],[Fecha]])</f>
        <v>2019</v>
      </c>
      <c r="J592" s="43" t="str">
        <f>TEXT(tbl_dashboard[[#This Row],[Fecha]],"mmmm")</f>
        <v>Enero</v>
      </c>
      <c r="K592" s="43">
        <f>WEEKNUM(tbl_dashboard[[#This Row],[Fecha]],2)</f>
        <v>5</v>
      </c>
    </row>
    <row r="593" spans="2:11" x14ac:dyDescent="0.2">
      <c r="B593" s="75">
        <v>43495</v>
      </c>
      <c r="C593" s="43" t="s">
        <v>183</v>
      </c>
      <c r="D593" s="43" t="s">
        <v>161</v>
      </c>
      <c r="E593" s="43" t="s">
        <v>162</v>
      </c>
      <c r="F593" s="43" t="s">
        <v>169</v>
      </c>
      <c r="G593" s="43">
        <v>6989</v>
      </c>
      <c r="H593" s="43">
        <v>1118.24</v>
      </c>
      <c r="I593" s="43">
        <f>YEAR(tbl_dashboard[[#This Row],[Fecha]])</f>
        <v>2019</v>
      </c>
      <c r="J593" s="43" t="str">
        <f>TEXT(tbl_dashboard[[#This Row],[Fecha]],"mmmm")</f>
        <v>Enero</v>
      </c>
      <c r="K593" s="43">
        <f>WEEKNUM(tbl_dashboard[[#This Row],[Fecha]],2)</f>
        <v>5</v>
      </c>
    </row>
    <row r="594" spans="2:11" x14ac:dyDescent="0.2">
      <c r="B594" s="75">
        <v>43495</v>
      </c>
      <c r="C594" s="43" t="s">
        <v>184</v>
      </c>
      <c r="D594" s="43" t="s">
        <v>165</v>
      </c>
      <c r="E594" s="43" t="s">
        <v>166</v>
      </c>
      <c r="F594" s="43" t="s">
        <v>163</v>
      </c>
      <c r="G594" s="43">
        <v>6909</v>
      </c>
      <c r="H594" s="43">
        <v>1727.25</v>
      </c>
      <c r="I594" s="43">
        <f>YEAR(tbl_dashboard[[#This Row],[Fecha]])</f>
        <v>2019</v>
      </c>
      <c r="J594" s="43" t="str">
        <f>TEXT(tbl_dashboard[[#This Row],[Fecha]],"mmmm")</f>
        <v>Enero</v>
      </c>
      <c r="K594" s="43">
        <f>WEEKNUM(tbl_dashboard[[#This Row],[Fecha]],2)</f>
        <v>5</v>
      </c>
    </row>
    <row r="595" spans="2:11" x14ac:dyDescent="0.2">
      <c r="B595" s="75">
        <v>43495</v>
      </c>
      <c r="C595" s="43" t="s">
        <v>185</v>
      </c>
      <c r="D595" s="43" t="s">
        <v>165</v>
      </c>
      <c r="E595" s="43" t="s">
        <v>162</v>
      </c>
      <c r="F595" s="43" t="s">
        <v>163</v>
      </c>
      <c r="G595" s="43">
        <v>11752</v>
      </c>
      <c r="H595" s="43">
        <v>5053.3599999999997</v>
      </c>
      <c r="I595" s="43">
        <f>YEAR(tbl_dashboard[[#This Row],[Fecha]])</f>
        <v>2019</v>
      </c>
      <c r="J595" s="43" t="str">
        <f>TEXT(tbl_dashboard[[#This Row],[Fecha]],"mmmm")</f>
        <v>Enero</v>
      </c>
      <c r="K595" s="43">
        <f>WEEKNUM(tbl_dashboard[[#This Row],[Fecha]],2)</f>
        <v>5</v>
      </c>
    </row>
    <row r="596" spans="2:11" x14ac:dyDescent="0.2">
      <c r="B596" s="75">
        <v>43495</v>
      </c>
      <c r="C596" s="43" t="s">
        <v>186</v>
      </c>
      <c r="D596" s="43" t="s">
        <v>168</v>
      </c>
      <c r="E596" s="43" t="s">
        <v>162</v>
      </c>
      <c r="F596" s="43" t="s">
        <v>169</v>
      </c>
      <c r="G596" s="43">
        <v>7666</v>
      </c>
      <c r="H596" s="43">
        <v>2759.76</v>
      </c>
      <c r="I596" s="43">
        <f>YEAR(tbl_dashboard[[#This Row],[Fecha]])</f>
        <v>2019</v>
      </c>
      <c r="J596" s="43" t="str">
        <f>TEXT(tbl_dashboard[[#This Row],[Fecha]],"mmmm")</f>
        <v>Enero</v>
      </c>
      <c r="K596" s="43">
        <f>WEEKNUM(tbl_dashboard[[#This Row],[Fecha]],2)</f>
        <v>5</v>
      </c>
    </row>
    <row r="597" spans="2:11" x14ac:dyDescent="0.2">
      <c r="B597" s="75">
        <v>43491</v>
      </c>
      <c r="C597" s="43" t="s">
        <v>187</v>
      </c>
      <c r="D597" s="43" t="s">
        <v>165</v>
      </c>
      <c r="E597" s="43" t="s">
        <v>166</v>
      </c>
      <c r="F597" s="43" t="s">
        <v>163</v>
      </c>
      <c r="G597" s="43">
        <v>1415</v>
      </c>
      <c r="H597" s="43">
        <v>438.65</v>
      </c>
      <c r="I597" s="43">
        <f>YEAR(tbl_dashboard[[#This Row],[Fecha]])</f>
        <v>2019</v>
      </c>
      <c r="J597" s="43" t="str">
        <f>TEXT(tbl_dashboard[[#This Row],[Fecha]],"mmmm")</f>
        <v>Enero</v>
      </c>
      <c r="K597" s="43">
        <f>WEEKNUM(tbl_dashboard[[#This Row],[Fecha]],2)</f>
        <v>4</v>
      </c>
    </row>
    <row r="598" spans="2:11" x14ac:dyDescent="0.2">
      <c r="B598" s="75">
        <v>43490</v>
      </c>
      <c r="C598" s="43" t="s">
        <v>188</v>
      </c>
      <c r="D598" s="43" t="s">
        <v>161</v>
      </c>
      <c r="E598" s="43" t="s">
        <v>162</v>
      </c>
      <c r="F598" s="43" t="s">
        <v>169</v>
      </c>
      <c r="G598" s="43">
        <v>5234</v>
      </c>
      <c r="H598" s="43">
        <v>1256.1600000000001</v>
      </c>
      <c r="I598" s="43">
        <f>YEAR(tbl_dashboard[[#This Row],[Fecha]])</f>
        <v>2019</v>
      </c>
      <c r="J598" s="43" t="str">
        <f>TEXT(tbl_dashboard[[#This Row],[Fecha]],"mmmm")</f>
        <v>Enero</v>
      </c>
      <c r="K598" s="43">
        <f>WEEKNUM(tbl_dashboard[[#This Row],[Fecha]],2)</f>
        <v>4</v>
      </c>
    </row>
    <row r="599" spans="2:11" x14ac:dyDescent="0.2">
      <c r="B599" s="75">
        <v>43490</v>
      </c>
      <c r="C599" s="43" t="s">
        <v>189</v>
      </c>
      <c r="D599" s="43" t="s">
        <v>161</v>
      </c>
      <c r="E599" s="43" t="s">
        <v>162</v>
      </c>
      <c r="F599" s="43" t="s">
        <v>169</v>
      </c>
      <c r="G599" s="43">
        <v>2914</v>
      </c>
      <c r="H599" s="43">
        <v>932.48</v>
      </c>
      <c r="I599" s="43">
        <f>YEAR(tbl_dashboard[[#This Row],[Fecha]])</f>
        <v>2019</v>
      </c>
      <c r="J599" s="43" t="str">
        <f>TEXT(tbl_dashboard[[#This Row],[Fecha]],"mmmm")</f>
        <v>Enero</v>
      </c>
      <c r="K599" s="43">
        <f>WEEKNUM(tbl_dashboard[[#This Row],[Fecha]],2)</f>
        <v>4</v>
      </c>
    </row>
    <row r="600" spans="2:11" x14ac:dyDescent="0.2">
      <c r="B600" s="75">
        <v>43490</v>
      </c>
      <c r="C600" s="43" t="s">
        <v>190</v>
      </c>
      <c r="D600" s="43" t="s">
        <v>161</v>
      </c>
      <c r="E600" s="43" t="s">
        <v>166</v>
      </c>
      <c r="F600" s="43" t="s">
        <v>169</v>
      </c>
      <c r="G600" s="43">
        <v>2466</v>
      </c>
      <c r="H600" s="43">
        <v>641.16</v>
      </c>
      <c r="I600" s="43">
        <f>YEAR(tbl_dashboard[[#This Row],[Fecha]])</f>
        <v>2019</v>
      </c>
      <c r="J600" s="43" t="str">
        <f>TEXT(tbl_dashboard[[#This Row],[Fecha]],"mmmm")</f>
        <v>Enero</v>
      </c>
      <c r="K600" s="43">
        <f>WEEKNUM(tbl_dashboard[[#This Row],[Fecha]],2)</f>
        <v>4</v>
      </c>
    </row>
    <row r="601" spans="2:11" x14ac:dyDescent="0.2">
      <c r="B601" s="75">
        <v>43490</v>
      </c>
      <c r="C601" s="43" t="s">
        <v>191</v>
      </c>
      <c r="D601" s="43" t="s">
        <v>168</v>
      </c>
      <c r="E601" s="43" t="s">
        <v>162</v>
      </c>
      <c r="F601" s="43" t="s">
        <v>169</v>
      </c>
      <c r="G601" s="43">
        <v>5275</v>
      </c>
      <c r="H601" s="43">
        <v>2110</v>
      </c>
      <c r="I601" s="43">
        <f>YEAR(tbl_dashboard[[#This Row],[Fecha]])</f>
        <v>2019</v>
      </c>
      <c r="J601" s="43" t="str">
        <f>TEXT(tbl_dashboard[[#This Row],[Fecha]],"mmmm")</f>
        <v>Enero</v>
      </c>
      <c r="K601" s="43">
        <f>WEEKNUM(tbl_dashboard[[#This Row],[Fecha]],2)</f>
        <v>4</v>
      </c>
    </row>
    <row r="602" spans="2:11" x14ac:dyDescent="0.2">
      <c r="B602" s="75">
        <v>43489</v>
      </c>
      <c r="C602" s="43" t="s">
        <v>192</v>
      </c>
      <c r="D602" s="43" t="s">
        <v>161</v>
      </c>
      <c r="E602" s="43" t="s">
        <v>162</v>
      </c>
      <c r="F602" s="43" t="s">
        <v>169</v>
      </c>
      <c r="G602" s="43">
        <v>10545</v>
      </c>
      <c r="H602" s="43">
        <v>3268.95</v>
      </c>
      <c r="I602" s="43">
        <f>YEAR(tbl_dashboard[[#This Row],[Fecha]])</f>
        <v>2019</v>
      </c>
      <c r="J602" s="43" t="str">
        <f>TEXT(tbl_dashboard[[#This Row],[Fecha]],"mmmm")</f>
        <v>Enero</v>
      </c>
      <c r="K602" s="43">
        <f>WEEKNUM(tbl_dashboard[[#This Row],[Fecha]],2)</f>
        <v>4</v>
      </c>
    </row>
    <row r="603" spans="2:11" x14ac:dyDescent="0.2">
      <c r="B603" s="75">
        <v>43496</v>
      </c>
      <c r="C603" s="43" t="s">
        <v>193</v>
      </c>
      <c r="D603" s="43" t="s">
        <v>161</v>
      </c>
      <c r="E603" s="43" t="s">
        <v>162</v>
      </c>
      <c r="F603" s="43" t="s">
        <v>163</v>
      </c>
      <c r="G603" s="43">
        <v>6266</v>
      </c>
      <c r="H603" s="43">
        <v>1879.8</v>
      </c>
      <c r="I603" s="43">
        <f>YEAR(tbl_dashboard[[#This Row],[Fecha]])</f>
        <v>2019</v>
      </c>
      <c r="J603" s="43" t="str">
        <f>TEXT(tbl_dashboard[[#This Row],[Fecha]],"mmmm")</f>
        <v>Enero</v>
      </c>
      <c r="K603" s="43">
        <f>WEEKNUM(tbl_dashboard[[#This Row],[Fecha]],2)</f>
        <v>5</v>
      </c>
    </row>
    <row r="604" spans="2:11" x14ac:dyDescent="0.2">
      <c r="B604" s="75">
        <v>43496</v>
      </c>
      <c r="C604" s="43" t="s">
        <v>194</v>
      </c>
      <c r="D604" s="43" t="s">
        <v>161</v>
      </c>
      <c r="E604" s="43" t="s">
        <v>162</v>
      </c>
      <c r="F604" s="43" t="s">
        <v>163</v>
      </c>
      <c r="G604" s="43">
        <v>9662</v>
      </c>
      <c r="H604" s="43">
        <v>3478.32</v>
      </c>
      <c r="I604" s="43">
        <f>YEAR(tbl_dashboard[[#This Row],[Fecha]])</f>
        <v>2019</v>
      </c>
      <c r="J604" s="43" t="str">
        <f>TEXT(tbl_dashboard[[#This Row],[Fecha]],"mmmm")</f>
        <v>Enero</v>
      </c>
      <c r="K604" s="43">
        <f>WEEKNUM(tbl_dashboard[[#This Row],[Fecha]],2)</f>
        <v>5</v>
      </c>
    </row>
    <row r="605" spans="2:11" x14ac:dyDescent="0.2">
      <c r="B605" s="75">
        <v>43496</v>
      </c>
      <c r="C605" s="43" t="s">
        <v>195</v>
      </c>
      <c r="D605" s="43" t="s">
        <v>161</v>
      </c>
      <c r="E605" s="43" t="s">
        <v>162</v>
      </c>
      <c r="F605" s="43" t="s">
        <v>169</v>
      </c>
      <c r="G605" s="43">
        <v>2896</v>
      </c>
      <c r="H605" s="43">
        <v>1100.48</v>
      </c>
      <c r="I605" s="43">
        <f>YEAR(tbl_dashboard[[#This Row],[Fecha]])</f>
        <v>2019</v>
      </c>
      <c r="J605" s="43" t="str">
        <f>TEXT(tbl_dashboard[[#This Row],[Fecha]],"mmmm")</f>
        <v>Enero</v>
      </c>
      <c r="K605" s="43">
        <f>WEEKNUM(tbl_dashboard[[#This Row],[Fecha]],2)</f>
        <v>5</v>
      </c>
    </row>
    <row r="606" spans="2:11" x14ac:dyDescent="0.2">
      <c r="B606" s="75">
        <v>43496</v>
      </c>
      <c r="C606" s="43" t="s">
        <v>196</v>
      </c>
      <c r="D606" s="43" t="s">
        <v>168</v>
      </c>
      <c r="E606" s="43" t="s">
        <v>162</v>
      </c>
      <c r="F606" s="43" t="s">
        <v>169</v>
      </c>
      <c r="G606" s="43">
        <v>10981</v>
      </c>
      <c r="H606" s="43">
        <v>1647.15</v>
      </c>
      <c r="I606" s="43">
        <f>YEAR(tbl_dashboard[[#This Row],[Fecha]])</f>
        <v>2019</v>
      </c>
      <c r="J606" s="43" t="str">
        <f>TEXT(tbl_dashboard[[#This Row],[Fecha]],"mmmm")</f>
        <v>Enero</v>
      </c>
      <c r="K606" s="43">
        <f>WEEKNUM(tbl_dashboard[[#This Row],[Fecha]],2)</f>
        <v>5</v>
      </c>
    </row>
    <row r="607" spans="2:11" x14ac:dyDescent="0.2">
      <c r="B607" s="75">
        <v>43496</v>
      </c>
      <c r="C607" s="43" t="s">
        <v>197</v>
      </c>
      <c r="D607" s="43" t="s">
        <v>168</v>
      </c>
      <c r="E607" s="43" t="s">
        <v>166</v>
      </c>
      <c r="F607" s="43" t="s">
        <v>163</v>
      </c>
      <c r="G607" s="43">
        <v>8849</v>
      </c>
      <c r="H607" s="43">
        <v>3893.56</v>
      </c>
      <c r="I607" s="43">
        <f>YEAR(tbl_dashboard[[#This Row],[Fecha]])</f>
        <v>2019</v>
      </c>
      <c r="J607" s="43" t="str">
        <f>TEXT(tbl_dashboard[[#This Row],[Fecha]],"mmmm")</f>
        <v>Enero</v>
      </c>
      <c r="K607" s="43">
        <f>WEEKNUM(tbl_dashboard[[#This Row],[Fecha]],2)</f>
        <v>5</v>
      </c>
    </row>
    <row r="608" spans="2:11" x14ac:dyDescent="0.2">
      <c r="B608" s="75">
        <v>43496</v>
      </c>
      <c r="C608" s="43" t="s">
        <v>198</v>
      </c>
      <c r="D608" s="43" t="s">
        <v>168</v>
      </c>
      <c r="E608" s="43" t="s">
        <v>166</v>
      </c>
      <c r="F608" s="43" t="s">
        <v>163</v>
      </c>
      <c r="G608" s="43">
        <v>2938</v>
      </c>
      <c r="H608" s="43">
        <v>969.54</v>
      </c>
      <c r="I608" s="43">
        <f>YEAR(tbl_dashboard[[#This Row],[Fecha]])</f>
        <v>2019</v>
      </c>
      <c r="J608" s="43" t="str">
        <f>TEXT(tbl_dashboard[[#This Row],[Fecha]],"mmmm")</f>
        <v>Enero</v>
      </c>
      <c r="K608" s="43">
        <f>WEEKNUM(tbl_dashboard[[#This Row],[Fecha]],2)</f>
        <v>5</v>
      </c>
    </row>
    <row r="609" spans="2:11" x14ac:dyDescent="0.2">
      <c r="B609" s="75">
        <v>43495</v>
      </c>
      <c r="C609" s="43" t="s">
        <v>199</v>
      </c>
      <c r="D609" s="43" t="s">
        <v>165</v>
      </c>
      <c r="E609" s="43" t="s">
        <v>166</v>
      </c>
      <c r="F609" s="43" t="s">
        <v>169</v>
      </c>
      <c r="G609" s="43">
        <v>5405</v>
      </c>
      <c r="H609" s="43">
        <v>1837.7</v>
      </c>
      <c r="I609" s="43">
        <f>YEAR(tbl_dashboard[[#This Row],[Fecha]])</f>
        <v>2019</v>
      </c>
      <c r="J609" s="43" t="str">
        <f>TEXT(tbl_dashboard[[#This Row],[Fecha]],"mmmm")</f>
        <v>Enero</v>
      </c>
      <c r="K609" s="43">
        <f>WEEKNUM(tbl_dashboard[[#This Row],[Fecha]],2)</f>
        <v>5</v>
      </c>
    </row>
    <row r="610" spans="2:11" x14ac:dyDescent="0.2">
      <c r="B610" s="75">
        <v>43491</v>
      </c>
      <c r="C610" s="43" t="s">
        <v>200</v>
      </c>
      <c r="D610" s="43" t="s">
        <v>168</v>
      </c>
      <c r="E610" s="43" t="s">
        <v>162</v>
      </c>
      <c r="F610" s="43" t="s">
        <v>163</v>
      </c>
      <c r="G610" s="43">
        <v>11499</v>
      </c>
      <c r="H610" s="43">
        <v>2644.77</v>
      </c>
      <c r="I610" s="43">
        <f>YEAR(tbl_dashboard[[#This Row],[Fecha]])</f>
        <v>2019</v>
      </c>
      <c r="J610" s="43" t="str">
        <f>TEXT(tbl_dashboard[[#This Row],[Fecha]],"mmmm")</f>
        <v>Enero</v>
      </c>
      <c r="K610" s="43">
        <f>WEEKNUM(tbl_dashboard[[#This Row],[Fecha]],2)</f>
        <v>4</v>
      </c>
    </row>
    <row r="611" spans="2:11" x14ac:dyDescent="0.2">
      <c r="B611" s="75">
        <v>43490</v>
      </c>
      <c r="C611" s="43" t="s">
        <v>201</v>
      </c>
      <c r="D611" s="43" t="s">
        <v>161</v>
      </c>
      <c r="E611" s="43" t="s">
        <v>162</v>
      </c>
      <c r="F611" s="43" t="s">
        <v>169</v>
      </c>
      <c r="G611" s="43">
        <v>3396</v>
      </c>
      <c r="H611" s="43">
        <v>577.32000000000005</v>
      </c>
      <c r="I611" s="43">
        <f>YEAR(tbl_dashboard[[#This Row],[Fecha]])</f>
        <v>2019</v>
      </c>
      <c r="J611" s="43" t="str">
        <f>TEXT(tbl_dashboard[[#This Row],[Fecha]],"mmmm")</f>
        <v>Enero</v>
      </c>
      <c r="K611" s="43">
        <f>WEEKNUM(tbl_dashboard[[#This Row],[Fecha]],2)</f>
        <v>4</v>
      </c>
    </row>
    <row r="612" spans="2:11" x14ac:dyDescent="0.2">
      <c r="B612" s="75">
        <v>43490</v>
      </c>
      <c r="C612" s="43" t="s">
        <v>202</v>
      </c>
      <c r="D612" s="43" t="s">
        <v>168</v>
      </c>
      <c r="E612" s="43" t="s">
        <v>162</v>
      </c>
      <c r="F612" s="43" t="s">
        <v>169</v>
      </c>
      <c r="G612" s="43">
        <v>9370</v>
      </c>
      <c r="H612" s="43">
        <v>2623.6</v>
      </c>
      <c r="I612" s="43">
        <f>YEAR(tbl_dashboard[[#This Row],[Fecha]])</f>
        <v>2019</v>
      </c>
      <c r="J612" s="43" t="str">
        <f>TEXT(tbl_dashboard[[#This Row],[Fecha]],"mmmm")</f>
        <v>Enero</v>
      </c>
      <c r="K612" s="43">
        <f>WEEKNUM(tbl_dashboard[[#This Row],[Fecha]],2)</f>
        <v>4</v>
      </c>
    </row>
    <row r="613" spans="2:11" x14ac:dyDescent="0.2">
      <c r="B613" s="75">
        <v>43490</v>
      </c>
      <c r="C613" s="43" t="s">
        <v>203</v>
      </c>
      <c r="D613" s="43" t="s">
        <v>161</v>
      </c>
      <c r="E613" s="43" t="s">
        <v>166</v>
      </c>
      <c r="F613" s="43" t="s">
        <v>169</v>
      </c>
      <c r="G613" s="43">
        <v>11477</v>
      </c>
      <c r="H613" s="43">
        <v>3672.64</v>
      </c>
      <c r="I613" s="43">
        <f>YEAR(tbl_dashboard[[#This Row],[Fecha]])</f>
        <v>2019</v>
      </c>
      <c r="J613" s="43" t="str">
        <f>TEXT(tbl_dashboard[[#This Row],[Fecha]],"mmmm")</f>
        <v>Enero</v>
      </c>
      <c r="K613" s="43">
        <f>WEEKNUM(tbl_dashboard[[#This Row],[Fecha]],2)</f>
        <v>4</v>
      </c>
    </row>
    <row r="614" spans="2:11" x14ac:dyDescent="0.2">
      <c r="B614" s="75">
        <v>43490</v>
      </c>
      <c r="C614" s="43" t="s">
        <v>204</v>
      </c>
      <c r="D614" s="43" t="s">
        <v>161</v>
      </c>
      <c r="E614" s="43" t="s">
        <v>166</v>
      </c>
      <c r="F614" s="43" t="s">
        <v>169</v>
      </c>
      <c r="G614" s="43">
        <v>10862</v>
      </c>
      <c r="H614" s="43">
        <v>3041.36</v>
      </c>
      <c r="I614" s="43">
        <f>YEAR(tbl_dashboard[[#This Row],[Fecha]])</f>
        <v>2019</v>
      </c>
      <c r="J614" s="43" t="str">
        <f>TEXT(tbl_dashboard[[#This Row],[Fecha]],"mmmm")</f>
        <v>Enero</v>
      </c>
      <c r="K614" s="43">
        <f>WEEKNUM(tbl_dashboard[[#This Row],[Fecha]],2)</f>
        <v>4</v>
      </c>
    </row>
    <row r="615" spans="2:11" x14ac:dyDescent="0.2">
      <c r="B615" s="75">
        <v>43489</v>
      </c>
      <c r="C615" s="43" t="s">
        <v>205</v>
      </c>
      <c r="D615" s="43" t="s">
        <v>168</v>
      </c>
      <c r="E615" s="43" t="s">
        <v>166</v>
      </c>
      <c r="F615" s="43" t="s">
        <v>169</v>
      </c>
      <c r="G615" s="43">
        <v>4858</v>
      </c>
      <c r="H615" s="43">
        <v>2137.52</v>
      </c>
      <c r="I615" s="43">
        <f>YEAR(tbl_dashboard[[#This Row],[Fecha]])</f>
        <v>2019</v>
      </c>
      <c r="J615" s="43" t="str">
        <f>TEXT(tbl_dashboard[[#This Row],[Fecha]],"mmmm")</f>
        <v>Enero</v>
      </c>
      <c r="K615" s="43">
        <f>WEEKNUM(tbl_dashboard[[#This Row],[Fecha]],2)</f>
        <v>4</v>
      </c>
    </row>
    <row r="616" spans="2:11" x14ac:dyDescent="0.2">
      <c r="B616" s="75">
        <v>43495</v>
      </c>
      <c r="C616" s="43" t="s">
        <v>206</v>
      </c>
      <c r="D616" s="43" t="s">
        <v>161</v>
      </c>
      <c r="E616" s="43" t="s">
        <v>166</v>
      </c>
      <c r="F616" s="43" t="s">
        <v>163</v>
      </c>
      <c r="G616" s="43">
        <v>10226</v>
      </c>
      <c r="H616" s="43">
        <v>2351.98</v>
      </c>
      <c r="I616" s="43">
        <f>YEAR(tbl_dashboard[[#This Row],[Fecha]])</f>
        <v>2019</v>
      </c>
      <c r="J616" s="43" t="str">
        <f>TEXT(tbl_dashboard[[#This Row],[Fecha]],"mmmm")</f>
        <v>Enero</v>
      </c>
      <c r="K616" s="43">
        <f>WEEKNUM(tbl_dashboard[[#This Row],[Fecha]],2)</f>
        <v>5</v>
      </c>
    </row>
    <row r="617" spans="2:11" x14ac:dyDescent="0.2">
      <c r="B617" s="75">
        <v>43495</v>
      </c>
      <c r="C617" s="43" t="s">
        <v>207</v>
      </c>
      <c r="D617" s="43" t="s">
        <v>168</v>
      </c>
      <c r="E617" s="43" t="s">
        <v>166</v>
      </c>
      <c r="F617" s="43" t="s">
        <v>163</v>
      </c>
      <c r="G617" s="43">
        <v>2976</v>
      </c>
      <c r="H617" s="43">
        <v>803.52</v>
      </c>
      <c r="I617" s="43">
        <f>YEAR(tbl_dashboard[[#This Row],[Fecha]])</f>
        <v>2019</v>
      </c>
      <c r="J617" s="43" t="str">
        <f>TEXT(tbl_dashboard[[#This Row],[Fecha]],"mmmm")</f>
        <v>Enero</v>
      </c>
      <c r="K617" s="43">
        <f>WEEKNUM(tbl_dashboard[[#This Row],[Fecha]],2)</f>
        <v>5</v>
      </c>
    </row>
    <row r="618" spans="2:11" x14ac:dyDescent="0.2">
      <c r="B618" s="75">
        <v>43495</v>
      </c>
      <c r="C618" s="43" t="s">
        <v>208</v>
      </c>
      <c r="D618" s="43" t="s">
        <v>168</v>
      </c>
      <c r="E618" s="43" t="s">
        <v>166</v>
      </c>
      <c r="F618" s="43" t="s">
        <v>169</v>
      </c>
      <c r="G618" s="43">
        <v>1563</v>
      </c>
      <c r="H618" s="43">
        <v>531.41999999999996</v>
      </c>
      <c r="I618" s="43">
        <f>YEAR(tbl_dashboard[[#This Row],[Fecha]])</f>
        <v>2019</v>
      </c>
      <c r="J618" s="43" t="str">
        <f>TEXT(tbl_dashboard[[#This Row],[Fecha]],"mmmm")</f>
        <v>Enero</v>
      </c>
      <c r="K618" s="43">
        <f>WEEKNUM(tbl_dashboard[[#This Row],[Fecha]],2)</f>
        <v>5</v>
      </c>
    </row>
    <row r="619" spans="2:11" x14ac:dyDescent="0.2">
      <c r="B619" s="75">
        <v>43495</v>
      </c>
      <c r="C619" s="43" t="s">
        <v>209</v>
      </c>
      <c r="D619" s="43" t="s">
        <v>168</v>
      </c>
      <c r="E619" s="43" t="s">
        <v>162</v>
      </c>
      <c r="F619" s="43" t="s">
        <v>169</v>
      </c>
      <c r="G619" s="43">
        <v>4304</v>
      </c>
      <c r="H619" s="43">
        <v>1936.8</v>
      </c>
      <c r="I619" s="43">
        <f>YEAR(tbl_dashboard[[#This Row],[Fecha]])</f>
        <v>2019</v>
      </c>
      <c r="J619" s="43" t="str">
        <f>TEXT(tbl_dashboard[[#This Row],[Fecha]],"mmmm")</f>
        <v>Enero</v>
      </c>
      <c r="K619" s="43">
        <f>WEEKNUM(tbl_dashboard[[#This Row],[Fecha]],2)</f>
        <v>5</v>
      </c>
    </row>
    <row r="620" spans="2:11" x14ac:dyDescent="0.2">
      <c r="B620" s="75">
        <v>43495</v>
      </c>
      <c r="C620" s="43" t="s">
        <v>210</v>
      </c>
      <c r="D620" s="43" t="s">
        <v>168</v>
      </c>
      <c r="E620" s="43" t="s">
        <v>166</v>
      </c>
      <c r="F620" s="43" t="s">
        <v>163</v>
      </c>
      <c r="G620" s="43">
        <v>5197</v>
      </c>
      <c r="H620" s="43">
        <v>1715.01</v>
      </c>
      <c r="I620" s="43">
        <f>YEAR(tbl_dashboard[[#This Row],[Fecha]])</f>
        <v>2019</v>
      </c>
      <c r="J620" s="43" t="str">
        <f>TEXT(tbl_dashboard[[#This Row],[Fecha]],"mmmm")</f>
        <v>Enero</v>
      </c>
      <c r="K620" s="43">
        <f>WEEKNUM(tbl_dashboard[[#This Row],[Fecha]],2)</f>
        <v>5</v>
      </c>
    </row>
    <row r="621" spans="2:11" x14ac:dyDescent="0.2">
      <c r="B621" s="75">
        <v>43495</v>
      </c>
      <c r="C621" s="43" t="s">
        <v>211</v>
      </c>
      <c r="D621" s="43" t="s">
        <v>165</v>
      </c>
      <c r="E621" s="43" t="s">
        <v>166</v>
      </c>
      <c r="F621" s="43" t="s">
        <v>163</v>
      </c>
      <c r="G621" s="43">
        <v>7527</v>
      </c>
      <c r="H621" s="43">
        <v>1354.86</v>
      </c>
      <c r="I621" s="43">
        <f>YEAR(tbl_dashboard[[#This Row],[Fecha]])</f>
        <v>2019</v>
      </c>
      <c r="J621" s="43" t="str">
        <f>TEXT(tbl_dashboard[[#This Row],[Fecha]],"mmmm")</f>
        <v>Enero</v>
      </c>
      <c r="K621" s="43">
        <f>WEEKNUM(tbl_dashboard[[#This Row],[Fecha]],2)</f>
        <v>5</v>
      </c>
    </row>
    <row r="622" spans="2:11" x14ac:dyDescent="0.2">
      <c r="B622" s="75">
        <v>43495</v>
      </c>
      <c r="C622" s="43" t="s">
        <v>212</v>
      </c>
      <c r="D622" s="43" t="s">
        <v>168</v>
      </c>
      <c r="E622" s="43" t="s">
        <v>166</v>
      </c>
      <c r="F622" s="43" t="s">
        <v>169</v>
      </c>
      <c r="G622" s="43">
        <v>11117</v>
      </c>
      <c r="H622" s="43">
        <v>3557.44</v>
      </c>
      <c r="I622" s="43">
        <f>YEAR(tbl_dashboard[[#This Row],[Fecha]])</f>
        <v>2019</v>
      </c>
      <c r="J622" s="43" t="str">
        <f>TEXT(tbl_dashboard[[#This Row],[Fecha]],"mmmm")</f>
        <v>Enero</v>
      </c>
      <c r="K622" s="43">
        <f>WEEKNUM(tbl_dashboard[[#This Row],[Fecha]],2)</f>
        <v>5</v>
      </c>
    </row>
    <row r="623" spans="2:11" x14ac:dyDescent="0.2">
      <c r="B623" s="75">
        <v>43491</v>
      </c>
      <c r="C623" s="43" t="s">
        <v>213</v>
      </c>
      <c r="D623" s="43" t="s">
        <v>161</v>
      </c>
      <c r="E623" s="43" t="s">
        <v>162</v>
      </c>
      <c r="F623" s="43" t="s">
        <v>163</v>
      </c>
      <c r="G623" s="43">
        <v>9110</v>
      </c>
      <c r="H623" s="43">
        <v>3279.6</v>
      </c>
      <c r="I623" s="43">
        <f>YEAR(tbl_dashboard[[#This Row],[Fecha]])</f>
        <v>2019</v>
      </c>
      <c r="J623" s="43" t="str">
        <f>TEXT(tbl_dashboard[[#This Row],[Fecha]],"mmmm")</f>
        <v>Enero</v>
      </c>
      <c r="K623" s="43">
        <f>WEEKNUM(tbl_dashboard[[#This Row],[Fecha]],2)</f>
        <v>4</v>
      </c>
    </row>
    <row r="624" spans="2:11" x14ac:dyDescent="0.2">
      <c r="B624" s="75">
        <v>43490</v>
      </c>
      <c r="C624" s="43" t="s">
        <v>214</v>
      </c>
      <c r="D624" s="43" t="s">
        <v>165</v>
      </c>
      <c r="E624" s="43" t="s">
        <v>166</v>
      </c>
      <c r="F624" s="43" t="s">
        <v>169</v>
      </c>
      <c r="G624" s="43">
        <v>10351</v>
      </c>
      <c r="H624" s="43">
        <v>2691.26</v>
      </c>
      <c r="I624" s="43">
        <f>YEAR(tbl_dashboard[[#This Row],[Fecha]])</f>
        <v>2019</v>
      </c>
      <c r="J624" s="43" t="str">
        <f>TEXT(tbl_dashboard[[#This Row],[Fecha]],"mmmm")</f>
        <v>Enero</v>
      </c>
      <c r="K624" s="43">
        <f>WEEKNUM(tbl_dashboard[[#This Row],[Fecha]],2)</f>
        <v>4</v>
      </c>
    </row>
    <row r="625" spans="2:11" x14ac:dyDescent="0.2">
      <c r="B625" s="75">
        <v>43490</v>
      </c>
      <c r="C625" s="43" t="s">
        <v>215</v>
      </c>
      <c r="D625" s="43" t="s">
        <v>168</v>
      </c>
      <c r="E625" s="43" t="s">
        <v>162</v>
      </c>
      <c r="F625" s="43" t="s">
        <v>169</v>
      </c>
      <c r="G625" s="43">
        <v>1625</v>
      </c>
      <c r="H625" s="43">
        <v>422.5</v>
      </c>
      <c r="I625" s="43">
        <f>YEAR(tbl_dashboard[[#This Row],[Fecha]])</f>
        <v>2019</v>
      </c>
      <c r="J625" s="43" t="str">
        <f>TEXT(tbl_dashboard[[#This Row],[Fecha]],"mmmm")</f>
        <v>Enero</v>
      </c>
      <c r="K625" s="43">
        <f>WEEKNUM(tbl_dashboard[[#This Row],[Fecha]],2)</f>
        <v>4</v>
      </c>
    </row>
    <row r="626" spans="2:11" x14ac:dyDescent="0.2">
      <c r="B626" s="75">
        <v>43490</v>
      </c>
      <c r="C626" s="43" t="s">
        <v>216</v>
      </c>
      <c r="D626" s="43" t="s">
        <v>165</v>
      </c>
      <c r="E626" s="43" t="s">
        <v>162</v>
      </c>
      <c r="F626" s="43" t="s">
        <v>169</v>
      </c>
      <c r="G626" s="43">
        <v>7975</v>
      </c>
      <c r="H626" s="43">
        <v>2950.75</v>
      </c>
      <c r="I626" s="43">
        <f>YEAR(tbl_dashboard[[#This Row],[Fecha]])</f>
        <v>2019</v>
      </c>
      <c r="J626" s="43" t="str">
        <f>TEXT(tbl_dashboard[[#This Row],[Fecha]],"mmmm")</f>
        <v>Enero</v>
      </c>
      <c r="K626" s="43">
        <f>WEEKNUM(tbl_dashboard[[#This Row],[Fecha]],2)</f>
        <v>4</v>
      </c>
    </row>
    <row r="627" spans="2:11" x14ac:dyDescent="0.2">
      <c r="B627" s="75">
        <v>43490</v>
      </c>
      <c r="C627" s="43" t="s">
        <v>217</v>
      </c>
      <c r="D627" s="43" t="s">
        <v>165</v>
      </c>
      <c r="E627" s="43" t="s">
        <v>162</v>
      </c>
      <c r="F627" s="43" t="s">
        <v>169</v>
      </c>
      <c r="G627" s="43">
        <v>1664</v>
      </c>
      <c r="H627" s="43">
        <v>449.28</v>
      </c>
      <c r="I627" s="43">
        <f>YEAR(tbl_dashboard[[#This Row],[Fecha]])</f>
        <v>2019</v>
      </c>
      <c r="J627" s="43" t="str">
        <f>TEXT(tbl_dashboard[[#This Row],[Fecha]],"mmmm")</f>
        <v>Enero</v>
      </c>
      <c r="K627" s="43">
        <f>WEEKNUM(tbl_dashboard[[#This Row],[Fecha]],2)</f>
        <v>4</v>
      </c>
    </row>
    <row r="628" spans="2:11" x14ac:dyDescent="0.2">
      <c r="B628" s="75">
        <v>43520</v>
      </c>
      <c r="C628" s="43" t="s">
        <v>160</v>
      </c>
      <c r="D628" s="43" t="s">
        <v>165</v>
      </c>
      <c r="E628" s="43" t="s">
        <v>166</v>
      </c>
      <c r="F628" s="43" t="s">
        <v>169</v>
      </c>
      <c r="G628" s="43">
        <v>3980</v>
      </c>
      <c r="H628" s="43">
        <v>1313.4</v>
      </c>
      <c r="I628" s="43">
        <f>YEAR(tbl_dashboard[[#This Row],[Fecha]])</f>
        <v>2019</v>
      </c>
      <c r="J628" s="43" t="str">
        <f>TEXT(tbl_dashboard[[#This Row],[Fecha]],"mmmm")</f>
        <v>Febrero</v>
      </c>
      <c r="K628" s="43">
        <f>WEEKNUM(tbl_dashboard[[#This Row],[Fecha]],2)</f>
        <v>8</v>
      </c>
    </row>
    <row r="629" spans="2:11" x14ac:dyDescent="0.2">
      <c r="B629" s="75">
        <v>43520</v>
      </c>
      <c r="C629" s="43" t="s">
        <v>164</v>
      </c>
      <c r="D629" s="43" t="s">
        <v>161</v>
      </c>
      <c r="E629" s="43" t="s">
        <v>166</v>
      </c>
      <c r="F629" s="43" t="s">
        <v>163</v>
      </c>
      <c r="G629" s="43">
        <v>10230</v>
      </c>
      <c r="H629" s="43">
        <v>3171.3</v>
      </c>
      <c r="I629" s="43">
        <f>YEAR(tbl_dashboard[[#This Row],[Fecha]])</f>
        <v>2019</v>
      </c>
      <c r="J629" s="43" t="str">
        <f>TEXT(tbl_dashboard[[#This Row],[Fecha]],"mmmm")</f>
        <v>Febrero</v>
      </c>
      <c r="K629" s="43">
        <f>WEEKNUM(tbl_dashboard[[#This Row],[Fecha]],2)</f>
        <v>8</v>
      </c>
    </row>
    <row r="630" spans="2:11" x14ac:dyDescent="0.2">
      <c r="B630" s="75">
        <v>43520</v>
      </c>
      <c r="C630" s="43" t="s">
        <v>167</v>
      </c>
      <c r="D630" s="43" t="s">
        <v>165</v>
      </c>
      <c r="E630" s="43" t="s">
        <v>162</v>
      </c>
      <c r="F630" s="43" t="s">
        <v>163</v>
      </c>
      <c r="G630" s="43">
        <v>7749</v>
      </c>
      <c r="H630" s="43">
        <v>1162.3499999999999</v>
      </c>
      <c r="I630" s="43">
        <f>YEAR(tbl_dashboard[[#This Row],[Fecha]])</f>
        <v>2019</v>
      </c>
      <c r="J630" s="43" t="str">
        <f>TEXT(tbl_dashboard[[#This Row],[Fecha]],"mmmm")</f>
        <v>Febrero</v>
      </c>
      <c r="K630" s="43">
        <f>WEEKNUM(tbl_dashboard[[#This Row],[Fecha]],2)</f>
        <v>8</v>
      </c>
    </row>
    <row r="631" spans="2:11" x14ac:dyDescent="0.2">
      <c r="B631" s="75">
        <v>43520</v>
      </c>
      <c r="C631" s="43" t="s">
        <v>170</v>
      </c>
      <c r="D631" s="43" t="s">
        <v>168</v>
      </c>
      <c r="E631" s="43" t="s">
        <v>166</v>
      </c>
      <c r="F631" s="43" t="s">
        <v>169</v>
      </c>
      <c r="G631" s="43">
        <v>4349</v>
      </c>
      <c r="H631" s="43">
        <v>652.35</v>
      </c>
      <c r="I631" s="43">
        <f>YEAR(tbl_dashboard[[#This Row],[Fecha]])</f>
        <v>2019</v>
      </c>
      <c r="J631" s="43" t="str">
        <f>TEXT(tbl_dashboard[[#This Row],[Fecha]],"mmmm")</f>
        <v>Febrero</v>
      </c>
      <c r="K631" s="43">
        <f>WEEKNUM(tbl_dashboard[[#This Row],[Fecha]],2)</f>
        <v>8</v>
      </c>
    </row>
    <row r="632" spans="2:11" x14ac:dyDescent="0.2">
      <c r="B632" s="75">
        <v>43520</v>
      </c>
      <c r="C632" s="43" t="s">
        <v>171</v>
      </c>
      <c r="D632" s="43" t="s">
        <v>161</v>
      </c>
      <c r="E632" s="43" t="s">
        <v>166</v>
      </c>
      <c r="F632" s="43" t="s">
        <v>169</v>
      </c>
      <c r="G632" s="43">
        <v>5360</v>
      </c>
      <c r="H632" s="43">
        <v>2197.6</v>
      </c>
      <c r="I632" s="43">
        <f>YEAR(tbl_dashboard[[#This Row],[Fecha]])</f>
        <v>2019</v>
      </c>
      <c r="J632" s="43" t="str">
        <f>TEXT(tbl_dashboard[[#This Row],[Fecha]],"mmmm")</f>
        <v>Febrero</v>
      </c>
      <c r="K632" s="43">
        <f>WEEKNUM(tbl_dashboard[[#This Row],[Fecha]],2)</f>
        <v>8</v>
      </c>
    </row>
    <row r="633" spans="2:11" x14ac:dyDescent="0.2">
      <c r="B633" s="75">
        <v>43520</v>
      </c>
      <c r="C633" s="43" t="s">
        <v>172</v>
      </c>
      <c r="D633" s="43" t="s">
        <v>165</v>
      </c>
      <c r="E633" s="43" t="s">
        <v>166</v>
      </c>
      <c r="F633" s="43" t="s">
        <v>163</v>
      </c>
      <c r="G633" s="43">
        <v>10393</v>
      </c>
      <c r="H633" s="43">
        <v>1662.88</v>
      </c>
      <c r="I633" s="43">
        <f>YEAR(tbl_dashboard[[#This Row],[Fecha]])</f>
        <v>2019</v>
      </c>
      <c r="J633" s="43" t="str">
        <f>TEXT(tbl_dashboard[[#This Row],[Fecha]],"mmmm")</f>
        <v>Febrero</v>
      </c>
      <c r="K633" s="43">
        <f>WEEKNUM(tbl_dashboard[[#This Row],[Fecha]],2)</f>
        <v>8</v>
      </c>
    </row>
    <row r="634" spans="2:11" x14ac:dyDescent="0.2">
      <c r="B634" s="75">
        <v>43520</v>
      </c>
      <c r="C634" s="43" t="s">
        <v>173</v>
      </c>
      <c r="D634" s="43" t="s">
        <v>168</v>
      </c>
      <c r="E634" s="43" t="s">
        <v>162</v>
      </c>
      <c r="F634" s="43" t="s">
        <v>163</v>
      </c>
      <c r="G634" s="43">
        <v>9839</v>
      </c>
      <c r="H634" s="43">
        <v>1967.8</v>
      </c>
      <c r="I634" s="43">
        <f>YEAR(tbl_dashboard[[#This Row],[Fecha]])</f>
        <v>2019</v>
      </c>
      <c r="J634" s="43" t="str">
        <f>TEXT(tbl_dashboard[[#This Row],[Fecha]],"mmmm")</f>
        <v>Febrero</v>
      </c>
      <c r="K634" s="43">
        <f>WEEKNUM(tbl_dashboard[[#This Row],[Fecha]],2)</f>
        <v>8</v>
      </c>
    </row>
    <row r="635" spans="2:11" x14ac:dyDescent="0.2">
      <c r="B635" s="75">
        <v>43520</v>
      </c>
      <c r="C635" s="43" t="s">
        <v>174</v>
      </c>
      <c r="D635" s="43" t="s">
        <v>168</v>
      </c>
      <c r="E635" s="43" t="s">
        <v>162</v>
      </c>
      <c r="F635" s="43" t="s">
        <v>169</v>
      </c>
      <c r="G635" s="43">
        <v>3096</v>
      </c>
      <c r="H635" s="43">
        <v>1331.28</v>
      </c>
      <c r="I635" s="43">
        <f>YEAR(tbl_dashboard[[#This Row],[Fecha]])</f>
        <v>2019</v>
      </c>
      <c r="J635" s="43" t="str">
        <f>TEXT(tbl_dashboard[[#This Row],[Fecha]],"mmmm")</f>
        <v>Febrero</v>
      </c>
      <c r="K635" s="43">
        <f>WEEKNUM(tbl_dashboard[[#This Row],[Fecha]],2)</f>
        <v>8</v>
      </c>
    </row>
    <row r="636" spans="2:11" x14ac:dyDescent="0.2">
      <c r="B636" s="75">
        <v>43520</v>
      </c>
      <c r="C636" s="43" t="s">
        <v>175</v>
      </c>
      <c r="D636" s="43" t="s">
        <v>165</v>
      </c>
      <c r="E636" s="43" t="s">
        <v>166</v>
      </c>
      <c r="F636" s="43" t="s">
        <v>163</v>
      </c>
      <c r="G636" s="43">
        <v>7169</v>
      </c>
      <c r="H636" s="43">
        <v>1362.11</v>
      </c>
      <c r="I636" s="43">
        <f>YEAR(tbl_dashboard[[#This Row],[Fecha]])</f>
        <v>2019</v>
      </c>
      <c r="J636" s="43" t="str">
        <f>TEXT(tbl_dashboard[[#This Row],[Fecha]],"mmmm")</f>
        <v>Febrero</v>
      </c>
      <c r="K636" s="43">
        <f>WEEKNUM(tbl_dashboard[[#This Row],[Fecha]],2)</f>
        <v>8</v>
      </c>
    </row>
    <row r="637" spans="2:11" x14ac:dyDescent="0.2">
      <c r="B637" s="75">
        <v>43520</v>
      </c>
      <c r="C637" s="43" t="s">
        <v>176</v>
      </c>
      <c r="D637" s="43" t="s">
        <v>165</v>
      </c>
      <c r="E637" s="43" t="s">
        <v>166</v>
      </c>
      <c r="F637" s="43" t="s">
        <v>169</v>
      </c>
      <c r="G637" s="43">
        <v>1732</v>
      </c>
      <c r="H637" s="43">
        <v>415.68</v>
      </c>
      <c r="I637" s="43">
        <f>YEAR(tbl_dashboard[[#This Row],[Fecha]])</f>
        <v>2019</v>
      </c>
      <c r="J637" s="43" t="str">
        <f>TEXT(tbl_dashboard[[#This Row],[Fecha]],"mmmm")</f>
        <v>Febrero</v>
      </c>
      <c r="K637" s="43">
        <f>WEEKNUM(tbl_dashboard[[#This Row],[Fecha]],2)</f>
        <v>8</v>
      </c>
    </row>
    <row r="638" spans="2:11" x14ac:dyDescent="0.2">
      <c r="B638" s="75">
        <v>43520</v>
      </c>
      <c r="C638" s="43" t="s">
        <v>177</v>
      </c>
      <c r="D638" s="43" t="s">
        <v>165</v>
      </c>
      <c r="E638" s="43" t="s">
        <v>162</v>
      </c>
      <c r="F638" s="43" t="s">
        <v>169</v>
      </c>
      <c r="G638" s="43">
        <v>7981</v>
      </c>
      <c r="H638" s="43">
        <v>2474.11</v>
      </c>
      <c r="I638" s="43">
        <f>YEAR(tbl_dashboard[[#This Row],[Fecha]])</f>
        <v>2019</v>
      </c>
      <c r="J638" s="43" t="str">
        <f>TEXT(tbl_dashboard[[#This Row],[Fecha]],"mmmm")</f>
        <v>Febrero</v>
      </c>
      <c r="K638" s="43">
        <f>WEEKNUM(tbl_dashboard[[#This Row],[Fecha]],2)</f>
        <v>8</v>
      </c>
    </row>
    <row r="639" spans="2:11" x14ac:dyDescent="0.2">
      <c r="B639" s="75">
        <v>43520</v>
      </c>
      <c r="C639" s="43" t="s">
        <v>178</v>
      </c>
      <c r="D639" s="43" t="s">
        <v>161</v>
      </c>
      <c r="E639" s="43" t="s">
        <v>162</v>
      </c>
      <c r="F639" s="43" t="s">
        <v>169</v>
      </c>
      <c r="G639" s="43">
        <v>9585</v>
      </c>
      <c r="H639" s="43">
        <v>3450.6</v>
      </c>
      <c r="I639" s="43">
        <f>YEAR(tbl_dashboard[[#This Row],[Fecha]])</f>
        <v>2019</v>
      </c>
      <c r="J639" s="43" t="str">
        <f>TEXT(tbl_dashboard[[#This Row],[Fecha]],"mmmm")</f>
        <v>Febrero</v>
      </c>
      <c r="K639" s="43">
        <f>WEEKNUM(tbl_dashboard[[#This Row],[Fecha]],2)</f>
        <v>8</v>
      </c>
    </row>
    <row r="640" spans="2:11" x14ac:dyDescent="0.2">
      <c r="B640" s="75">
        <v>43520</v>
      </c>
      <c r="C640" s="43" t="s">
        <v>179</v>
      </c>
      <c r="D640" s="43" t="s">
        <v>165</v>
      </c>
      <c r="E640" s="43" t="s">
        <v>162</v>
      </c>
      <c r="F640" s="43" t="s">
        <v>169</v>
      </c>
      <c r="G640" s="43">
        <v>11838</v>
      </c>
      <c r="H640" s="43">
        <v>2367.6</v>
      </c>
      <c r="I640" s="43">
        <f>YEAR(tbl_dashboard[[#This Row],[Fecha]])</f>
        <v>2019</v>
      </c>
      <c r="J640" s="43" t="str">
        <f>TEXT(tbl_dashboard[[#This Row],[Fecha]],"mmmm")</f>
        <v>Febrero</v>
      </c>
      <c r="K640" s="43">
        <f>WEEKNUM(tbl_dashboard[[#This Row],[Fecha]],2)</f>
        <v>8</v>
      </c>
    </row>
    <row r="641" spans="2:11" x14ac:dyDescent="0.2">
      <c r="B641" s="75">
        <v>43520</v>
      </c>
      <c r="C641" s="43" t="s">
        <v>180</v>
      </c>
      <c r="D641" s="43" t="s">
        <v>165</v>
      </c>
      <c r="E641" s="43" t="s">
        <v>162</v>
      </c>
      <c r="F641" s="43" t="s">
        <v>169</v>
      </c>
      <c r="G641" s="43">
        <v>1953</v>
      </c>
      <c r="H641" s="43">
        <v>468.72</v>
      </c>
      <c r="I641" s="43">
        <f>YEAR(tbl_dashboard[[#This Row],[Fecha]])</f>
        <v>2019</v>
      </c>
      <c r="J641" s="43" t="str">
        <f>TEXT(tbl_dashboard[[#This Row],[Fecha]],"mmmm")</f>
        <v>Febrero</v>
      </c>
      <c r="K641" s="43">
        <f>WEEKNUM(tbl_dashboard[[#This Row],[Fecha]],2)</f>
        <v>8</v>
      </c>
    </row>
    <row r="642" spans="2:11" x14ac:dyDescent="0.2">
      <c r="B642" s="75">
        <v>43520</v>
      </c>
      <c r="C642" s="43" t="s">
        <v>181</v>
      </c>
      <c r="D642" s="43" t="s">
        <v>168</v>
      </c>
      <c r="E642" s="43" t="s">
        <v>162</v>
      </c>
      <c r="F642" s="43" t="s">
        <v>163</v>
      </c>
      <c r="G642" s="43">
        <v>3048</v>
      </c>
      <c r="H642" s="43">
        <v>822.96</v>
      </c>
      <c r="I642" s="43">
        <f>YEAR(tbl_dashboard[[#This Row],[Fecha]])</f>
        <v>2019</v>
      </c>
      <c r="J642" s="43" t="str">
        <f>TEXT(tbl_dashboard[[#This Row],[Fecha]],"mmmm")</f>
        <v>Febrero</v>
      </c>
      <c r="K642" s="43">
        <f>WEEKNUM(tbl_dashboard[[#This Row],[Fecha]],2)</f>
        <v>8</v>
      </c>
    </row>
    <row r="643" spans="2:11" x14ac:dyDescent="0.2">
      <c r="B643" s="75">
        <v>43520</v>
      </c>
      <c r="C643" s="43" t="s">
        <v>182</v>
      </c>
      <c r="D643" s="43" t="s">
        <v>165</v>
      </c>
      <c r="E643" s="43" t="s">
        <v>166</v>
      </c>
      <c r="F643" s="43" t="s">
        <v>163</v>
      </c>
      <c r="G643" s="43">
        <v>7864</v>
      </c>
      <c r="H643" s="43">
        <v>3145.6</v>
      </c>
      <c r="I643" s="43">
        <f>YEAR(tbl_dashboard[[#This Row],[Fecha]])</f>
        <v>2019</v>
      </c>
      <c r="J643" s="43" t="str">
        <f>TEXT(tbl_dashboard[[#This Row],[Fecha]],"mmmm")</f>
        <v>Febrero</v>
      </c>
      <c r="K643" s="43">
        <f>WEEKNUM(tbl_dashboard[[#This Row],[Fecha]],2)</f>
        <v>8</v>
      </c>
    </row>
    <row r="644" spans="2:11" x14ac:dyDescent="0.2">
      <c r="B644" s="75">
        <v>43520</v>
      </c>
      <c r="C644" s="43" t="s">
        <v>183</v>
      </c>
      <c r="D644" s="43" t="s">
        <v>161</v>
      </c>
      <c r="E644" s="43" t="s">
        <v>162</v>
      </c>
      <c r="F644" s="43" t="s">
        <v>169</v>
      </c>
      <c r="G644" s="43">
        <v>10925</v>
      </c>
      <c r="H644" s="43">
        <v>3168.25</v>
      </c>
      <c r="I644" s="43">
        <f>YEAR(tbl_dashboard[[#This Row],[Fecha]])</f>
        <v>2019</v>
      </c>
      <c r="J644" s="43" t="str">
        <f>TEXT(tbl_dashboard[[#This Row],[Fecha]],"mmmm")</f>
        <v>Febrero</v>
      </c>
      <c r="K644" s="43">
        <f>WEEKNUM(tbl_dashboard[[#This Row],[Fecha]],2)</f>
        <v>8</v>
      </c>
    </row>
    <row r="645" spans="2:11" x14ac:dyDescent="0.2">
      <c r="B645" s="75">
        <v>43520</v>
      </c>
      <c r="C645" s="43" t="s">
        <v>184</v>
      </c>
      <c r="D645" s="43" t="s">
        <v>161</v>
      </c>
      <c r="E645" s="43" t="s">
        <v>162</v>
      </c>
      <c r="F645" s="43" t="s">
        <v>169</v>
      </c>
      <c r="G645" s="43">
        <v>1230</v>
      </c>
      <c r="H645" s="43">
        <v>467.4</v>
      </c>
      <c r="I645" s="43">
        <f>YEAR(tbl_dashboard[[#This Row],[Fecha]])</f>
        <v>2019</v>
      </c>
      <c r="J645" s="43" t="str">
        <f>TEXT(tbl_dashboard[[#This Row],[Fecha]],"mmmm")</f>
        <v>Febrero</v>
      </c>
      <c r="K645" s="43">
        <f>WEEKNUM(tbl_dashboard[[#This Row],[Fecha]],2)</f>
        <v>8</v>
      </c>
    </row>
    <row r="646" spans="2:11" x14ac:dyDescent="0.2">
      <c r="B646" s="75">
        <v>43520</v>
      </c>
      <c r="C646" s="43" t="s">
        <v>185</v>
      </c>
      <c r="D646" s="43" t="s">
        <v>161</v>
      </c>
      <c r="E646" s="43" t="s">
        <v>166</v>
      </c>
      <c r="F646" s="43" t="s">
        <v>163</v>
      </c>
      <c r="G646" s="43">
        <v>7914</v>
      </c>
      <c r="H646" s="43">
        <v>1503.66</v>
      </c>
      <c r="I646" s="43">
        <f>YEAR(tbl_dashboard[[#This Row],[Fecha]])</f>
        <v>2019</v>
      </c>
      <c r="J646" s="43" t="str">
        <f>TEXT(tbl_dashboard[[#This Row],[Fecha]],"mmmm")</f>
        <v>Febrero</v>
      </c>
      <c r="K646" s="43">
        <f>WEEKNUM(tbl_dashboard[[#This Row],[Fecha]],2)</f>
        <v>8</v>
      </c>
    </row>
    <row r="647" spans="2:11" x14ac:dyDescent="0.2">
      <c r="B647" s="75">
        <v>43520</v>
      </c>
      <c r="C647" s="43" t="s">
        <v>186</v>
      </c>
      <c r="D647" s="43" t="s">
        <v>168</v>
      </c>
      <c r="E647" s="43" t="s">
        <v>162</v>
      </c>
      <c r="F647" s="43" t="s">
        <v>163</v>
      </c>
      <c r="G647" s="43">
        <v>9978</v>
      </c>
      <c r="H647" s="43">
        <v>3192.96</v>
      </c>
      <c r="I647" s="43">
        <f>YEAR(tbl_dashboard[[#This Row],[Fecha]])</f>
        <v>2019</v>
      </c>
      <c r="J647" s="43" t="str">
        <f>TEXT(tbl_dashboard[[#This Row],[Fecha]],"mmmm")</f>
        <v>Febrero</v>
      </c>
      <c r="K647" s="43">
        <f>WEEKNUM(tbl_dashboard[[#This Row],[Fecha]],2)</f>
        <v>8</v>
      </c>
    </row>
    <row r="648" spans="2:11" x14ac:dyDescent="0.2">
      <c r="B648" s="75">
        <v>43520</v>
      </c>
      <c r="C648" s="43" t="s">
        <v>187</v>
      </c>
      <c r="D648" s="43" t="s">
        <v>161</v>
      </c>
      <c r="E648" s="43" t="s">
        <v>166</v>
      </c>
      <c r="F648" s="43" t="s">
        <v>169</v>
      </c>
      <c r="G648" s="43">
        <v>6793</v>
      </c>
      <c r="H648" s="43">
        <v>1222.74</v>
      </c>
      <c r="I648" s="43">
        <f>YEAR(tbl_dashboard[[#This Row],[Fecha]])</f>
        <v>2019</v>
      </c>
      <c r="J648" s="43" t="str">
        <f>TEXT(tbl_dashboard[[#This Row],[Fecha]],"mmmm")</f>
        <v>Febrero</v>
      </c>
      <c r="K648" s="43">
        <f>WEEKNUM(tbl_dashboard[[#This Row],[Fecha]],2)</f>
        <v>8</v>
      </c>
    </row>
    <row r="649" spans="2:11" x14ac:dyDescent="0.2">
      <c r="B649" s="75">
        <v>43520</v>
      </c>
      <c r="C649" s="43" t="s">
        <v>188</v>
      </c>
      <c r="D649" s="43" t="s">
        <v>161</v>
      </c>
      <c r="E649" s="43" t="s">
        <v>162</v>
      </c>
      <c r="F649" s="43" t="s">
        <v>163</v>
      </c>
      <c r="G649" s="43">
        <v>5112</v>
      </c>
      <c r="H649" s="43">
        <v>1329.12</v>
      </c>
      <c r="I649" s="43">
        <f>YEAR(tbl_dashboard[[#This Row],[Fecha]])</f>
        <v>2019</v>
      </c>
      <c r="J649" s="43" t="str">
        <f>TEXT(tbl_dashboard[[#This Row],[Fecha]],"mmmm")</f>
        <v>Febrero</v>
      </c>
      <c r="K649" s="43">
        <f>WEEKNUM(tbl_dashboard[[#This Row],[Fecha]],2)</f>
        <v>8</v>
      </c>
    </row>
    <row r="650" spans="2:11" x14ac:dyDescent="0.2">
      <c r="B650" s="75">
        <v>43520</v>
      </c>
      <c r="C650" s="43" t="s">
        <v>189</v>
      </c>
      <c r="D650" s="43" t="s">
        <v>168</v>
      </c>
      <c r="E650" s="43" t="s">
        <v>162</v>
      </c>
      <c r="F650" s="43" t="s">
        <v>169</v>
      </c>
      <c r="G650" s="43">
        <v>8020</v>
      </c>
      <c r="H650" s="43">
        <v>3288.2</v>
      </c>
      <c r="I650" s="43">
        <f>YEAR(tbl_dashboard[[#This Row],[Fecha]])</f>
        <v>2019</v>
      </c>
      <c r="J650" s="43" t="str">
        <f>TEXT(tbl_dashboard[[#This Row],[Fecha]],"mmmm")</f>
        <v>Febrero</v>
      </c>
      <c r="K650" s="43">
        <f>WEEKNUM(tbl_dashboard[[#This Row],[Fecha]],2)</f>
        <v>8</v>
      </c>
    </row>
    <row r="651" spans="2:11" x14ac:dyDescent="0.2">
      <c r="B651" s="75">
        <v>43520</v>
      </c>
      <c r="C651" s="43" t="s">
        <v>190</v>
      </c>
      <c r="D651" s="43" t="s">
        <v>161</v>
      </c>
      <c r="E651" s="43" t="s">
        <v>162</v>
      </c>
      <c r="F651" s="43" t="s">
        <v>169</v>
      </c>
      <c r="G651" s="43">
        <v>5233</v>
      </c>
      <c r="H651" s="43">
        <v>941.94</v>
      </c>
      <c r="I651" s="43">
        <f>YEAR(tbl_dashboard[[#This Row],[Fecha]])</f>
        <v>2019</v>
      </c>
      <c r="J651" s="43" t="str">
        <f>TEXT(tbl_dashboard[[#This Row],[Fecha]],"mmmm")</f>
        <v>Febrero</v>
      </c>
      <c r="K651" s="43">
        <f>WEEKNUM(tbl_dashboard[[#This Row],[Fecha]],2)</f>
        <v>8</v>
      </c>
    </row>
    <row r="652" spans="2:11" x14ac:dyDescent="0.2">
      <c r="B652" s="75">
        <v>43520</v>
      </c>
      <c r="C652" s="43" t="s">
        <v>191</v>
      </c>
      <c r="D652" s="43" t="s">
        <v>168</v>
      </c>
      <c r="E652" s="43" t="s">
        <v>162</v>
      </c>
      <c r="F652" s="43" t="s">
        <v>169</v>
      </c>
      <c r="G652" s="43">
        <v>11630</v>
      </c>
      <c r="H652" s="43">
        <v>3372.7</v>
      </c>
      <c r="I652" s="43">
        <f>YEAR(tbl_dashboard[[#This Row],[Fecha]])</f>
        <v>2019</v>
      </c>
      <c r="J652" s="43" t="str">
        <f>TEXT(tbl_dashboard[[#This Row],[Fecha]],"mmmm")</f>
        <v>Febrero</v>
      </c>
      <c r="K652" s="43">
        <f>WEEKNUM(tbl_dashboard[[#This Row],[Fecha]],2)</f>
        <v>8</v>
      </c>
    </row>
    <row r="653" spans="2:11" x14ac:dyDescent="0.2">
      <c r="B653" s="75">
        <v>43520</v>
      </c>
      <c r="C653" s="43" t="s">
        <v>192</v>
      </c>
      <c r="D653" s="43" t="s">
        <v>168</v>
      </c>
      <c r="E653" s="43" t="s">
        <v>166</v>
      </c>
      <c r="F653" s="43" t="s">
        <v>169</v>
      </c>
      <c r="G653" s="43">
        <v>8901</v>
      </c>
      <c r="H653" s="43">
        <v>2759.31</v>
      </c>
      <c r="I653" s="43">
        <f>YEAR(tbl_dashboard[[#This Row],[Fecha]])</f>
        <v>2019</v>
      </c>
      <c r="J653" s="43" t="str">
        <f>TEXT(tbl_dashboard[[#This Row],[Fecha]],"mmmm")</f>
        <v>Febrero</v>
      </c>
      <c r="K653" s="43">
        <f>WEEKNUM(tbl_dashboard[[#This Row],[Fecha]],2)</f>
        <v>8</v>
      </c>
    </row>
    <row r="654" spans="2:11" x14ac:dyDescent="0.2">
      <c r="B654" s="75">
        <v>43520</v>
      </c>
      <c r="C654" s="43" t="s">
        <v>193</v>
      </c>
      <c r="D654" s="43" t="s">
        <v>168</v>
      </c>
      <c r="E654" s="43" t="s">
        <v>162</v>
      </c>
      <c r="F654" s="43" t="s">
        <v>169</v>
      </c>
      <c r="G654" s="43">
        <v>7075</v>
      </c>
      <c r="H654" s="43">
        <v>3183.75</v>
      </c>
      <c r="I654" s="43">
        <f>YEAR(tbl_dashboard[[#This Row],[Fecha]])</f>
        <v>2019</v>
      </c>
      <c r="J654" s="43" t="str">
        <f>TEXT(tbl_dashboard[[#This Row],[Fecha]],"mmmm")</f>
        <v>Febrero</v>
      </c>
      <c r="K654" s="43">
        <f>WEEKNUM(tbl_dashboard[[#This Row],[Fecha]],2)</f>
        <v>8</v>
      </c>
    </row>
    <row r="655" spans="2:11" x14ac:dyDescent="0.2">
      <c r="B655" s="75">
        <v>43520</v>
      </c>
      <c r="C655" s="43" t="s">
        <v>194</v>
      </c>
      <c r="D655" s="43" t="s">
        <v>168</v>
      </c>
      <c r="E655" s="43" t="s">
        <v>166</v>
      </c>
      <c r="F655" s="43" t="s">
        <v>163</v>
      </c>
      <c r="G655" s="43">
        <v>11718</v>
      </c>
      <c r="H655" s="43">
        <v>4218.4799999999996</v>
      </c>
      <c r="I655" s="43">
        <f>YEAR(tbl_dashboard[[#This Row],[Fecha]])</f>
        <v>2019</v>
      </c>
      <c r="J655" s="43" t="str">
        <f>TEXT(tbl_dashboard[[#This Row],[Fecha]],"mmmm")</f>
        <v>Febrero</v>
      </c>
      <c r="K655" s="43">
        <f>WEEKNUM(tbl_dashboard[[#This Row],[Fecha]],2)</f>
        <v>8</v>
      </c>
    </row>
    <row r="656" spans="2:11" x14ac:dyDescent="0.2">
      <c r="B656" s="75">
        <v>43520</v>
      </c>
      <c r="C656" s="43" t="s">
        <v>195</v>
      </c>
      <c r="D656" s="43" t="s">
        <v>165</v>
      </c>
      <c r="E656" s="43" t="s">
        <v>162</v>
      </c>
      <c r="F656" s="43" t="s">
        <v>163</v>
      </c>
      <c r="G656" s="43">
        <v>3239</v>
      </c>
      <c r="H656" s="43">
        <v>906.92</v>
      </c>
      <c r="I656" s="43">
        <f>YEAR(tbl_dashboard[[#This Row],[Fecha]])</f>
        <v>2019</v>
      </c>
      <c r="J656" s="43" t="str">
        <f>TEXT(tbl_dashboard[[#This Row],[Fecha]],"mmmm")</f>
        <v>Febrero</v>
      </c>
      <c r="K656" s="43">
        <f>WEEKNUM(tbl_dashboard[[#This Row],[Fecha]],2)</f>
        <v>8</v>
      </c>
    </row>
    <row r="657" spans="2:11" x14ac:dyDescent="0.2">
      <c r="B657" s="75">
        <v>43520</v>
      </c>
      <c r="C657" s="43" t="s">
        <v>196</v>
      </c>
      <c r="D657" s="43" t="s">
        <v>168</v>
      </c>
      <c r="E657" s="43" t="s">
        <v>166</v>
      </c>
      <c r="F657" s="43" t="s">
        <v>169</v>
      </c>
      <c r="G657" s="43">
        <v>4516</v>
      </c>
      <c r="H657" s="43">
        <v>1806.4</v>
      </c>
      <c r="I657" s="43">
        <f>YEAR(tbl_dashboard[[#This Row],[Fecha]])</f>
        <v>2019</v>
      </c>
      <c r="J657" s="43" t="str">
        <f>TEXT(tbl_dashboard[[#This Row],[Fecha]],"mmmm")</f>
        <v>Febrero</v>
      </c>
      <c r="K657" s="43">
        <f>WEEKNUM(tbl_dashboard[[#This Row],[Fecha]],2)</f>
        <v>8</v>
      </c>
    </row>
    <row r="658" spans="2:11" x14ac:dyDescent="0.2">
      <c r="B658" s="75">
        <v>43520</v>
      </c>
      <c r="C658" s="43" t="s">
        <v>197</v>
      </c>
      <c r="D658" s="43" t="s">
        <v>161</v>
      </c>
      <c r="E658" s="43" t="s">
        <v>162</v>
      </c>
      <c r="F658" s="43" t="s">
        <v>169</v>
      </c>
      <c r="G658" s="43">
        <v>4823</v>
      </c>
      <c r="H658" s="43">
        <v>1350.44</v>
      </c>
      <c r="I658" s="43">
        <f>YEAR(tbl_dashboard[[#This Row],[Fecha]])</f>
        <v>2019</v>
      </c>
      <c r="J658" s="43" t="str">
        <f>TEXT(tbl_dashboard[[#This Row],[Fecha]],"mmmm")</f>
        <v>Febrero</v>
      </c>
      <c r="K658" s="43">
        <f>WEEKNUM(tbl_dashboard[[#This Row],[Fecha]],2)</f>
        <v>8</v>
      </c>
    </row>
    <row r="659" spans="2:11" x14ac:dyDescent="0.2">
      <c r="B659" s="75">
        <v>43520</v>
      </c>
      <c r="C659" s="43" t="s">
        <v>198</v>
      </c>
      <c r="D659" s="43" t="s">
        <v>165</v>
      </c>
      <c r="E659" s="43" t="s">
        <v>166</v>
      </c>
      <c r="F659" s="43" t="s">
        <v>163</v>
      </c>
      <c r="G659" s="43">
        <v>3169</v>
      </c>
      <c r="H659" s="43">
        <v>475.35</v>
      </c>
      <c r="I659" s="43">
        <f>YEAR(tbl_dashboard[[#This Row],[Fecha]])</f>
        <v>2019</v>
      </c>
      <c r="J659" s="43" t="str">
        <f>TEXT(tbl_dashboard[[#This Row],[Fecha]],"mmmm")</f>
        <v>Febrero</v>
      </c>
      <c r="K659" s="43">
        <f>WEEKNUM(tbl_dashboard[[#This Row],[Fecha]],2)</f>
        <v>8</v>
      </c>
    </row>
    <row r="660" spans="2:11" x14ac:dyDescent="0.2">
      <c r="B660" s="75">
        <v>43520</v>
      </c>
      <c r="C660" s="43" t="s">
        <v>199</v>
      </c>
      <c r="D660" s="43" t="s">
        <v>168</v>
      </c>
      <c r="E660" s="43" t="s">
        <v>162</v>
      </c>
      <c r="F660" s="43" t="s">
        <v>163</v>
      </c>
      <c r="G660" s="43">
        <v>6883</v>
      </c>
      <c r="H660" s="43">
        <v>2959.69</v>
      </c>
      <c r="I660" s="43">
        <f>YEAR(tbl_dashboard[[#This Row],[Fecha]])</f>
        <v>2019</v>
      </c>
      <c r="J660" s="43" t="str">
        <f>TEXT(tbl_dashboard[[#This Row],[Fecha]],"mmmm")</f>
        <v>Febrero</v>
      </c>
      <c r="K660" s="43">
        <f>WEEKNUM(tbl_dashboard[[#This Row],[Fecha]],2)</f>
        <v>8</v>
      </c>
    </row>
    <row r="661" spans="2:11" x14ac:dyDescent="0.2">
      <c r="B661" s="75">
        <v>43554</v>
      </c>
      <c r="C661" s="43" t="s">
        <v>160</v>
      </c>
      <c r="D661" s="43" t="s">
        <v>165</v>
      </c>
      <c r="E661" s="43" t="s">
        <v>162</v>
      </c>
      <c r="F661" s="43" t="s">
        <v>169</v>
      </c>
      <c r="G661" s="43">
        <v>2690</v>
      </c>
      <c r="H661" s="43">
        <v>833.9</v>
      </c>
      <c r="I661" s="43">
        <f>YEAR(tbl_dashboard[[#This Row],[Fecha]])</f>
        <v>2019</v>
      </c>
      <c r="J661" s="43" t="str">
        <f>TEXT(tbl_dashboard[[#This Row],[Fecha]],"mmmm")</f>
        <v>Marzo</v>
      </c>
      <c r="K661" s="43">
        <f>WEEKNUM(tbl_dashboard[[#This Row],[Fecha]],2)</f>
        <v>13</v>
      </c>
    </row>
    <row r="662" spans="2:11" x14ac:dyDescent="0.2">
      <c r="B662" s="75">
        <v>43550</v>
      </c>
      <c r="C662" s="43" t="s">
        <v>164</v>
      </c>
      <c r="D662" s="43" t="s">
        <v>165</v>
      </c>
      <c r="E662" s="43" t="s">
        <v>166</v>
      </c>
      <c r="F662" s="43" t="s">
        <v>163</v>
      </c>
      <c r="G662" s="43">
        <v>10203</v>
      </c>
      <c r="H662" s="43">
        <v>4387.29</v>
      </c>
      <c r="I662" s="43">
        <f>YEAR(tbl_dashboard[[#This Row],[Fecha]])</f>
        <v>2019</v>
      </c>
      <c r="J662" s="43" t="str">
        <f>TEXT(tbl_dashboard[[#This Row],[Fecha]],"mmmm")</f>
        <v>Marzo</v>
      </c>
      <c r="K662" s="43">
        <f>WEEKNUM(tbl_dashboard[[#This Row],[Fecha]],2)</f>
        <v>13</v>
      </c>
    </row>
    <row r="663" spans="2:11" x14ac:dyDescent="0.2">
      <c r="B663" s="75">
        <v>43549</v>
      </c>
      <c r="C663" s="43" t="s">
        <v>167</v>
      </c>
      <c r="D663" s="43" t="s">
        <v>165</v>
      </c>
      <c r="E663" s="43" t="s">
        <v>162</v>
      </c>
      <c r="F663" s="43" t="s">
        <v>169</v>
      </c>
      <c r="G663" s="43">
        <v>1631</v>
      </c>
      <c r="H663" s="43">
        <v>587.16</v>
      </c>
      <c r="I663" s="43">
        <f>YEAR(tbl_dashboard[[#This Row],[Fecha]])</f>
        <v>2019</v>
      </c>
      <c r="J663" s="43" t="str">
        <f>TEXT(tbl_dashboard[[#This Row],[Fecha]],"mmmm")</f>
        <v>Marzo</v>
      </c>
      <c r="K663" s="43">
        <f>WEEKNUM(tbl_dashboard[[#This Row],[Fecha]],2)</f>
        <v>13</v>
      </c>
    </row>
    <row r="664" spans="2:11" x14ac:dyDescent="0.2">
      <c r="B664" s="75">
        <v>43549</v>
      </c>
      <c r="C664" s="43" t="s">
        <v>170</v>
      </c>
      <c r="D664" s="43" t="s">
        <v>161</v>
      </c>
      <c r="E664" s="43" t="s">
        <v>166</v>
      </c>
      <c r="F664" s="43" t="s">
        <v>169</v>
      </c>
      <c r="G664" s="43">
        <v>5025</v>
      </c>
      <c r="H664" s="43">
        <v>804</v>
      </c>
      <c r="I664" s="43">
        <f>YEAR(tbl_dashboard[[#This Row],[Fecha]])</f>
        <v>2019</v>
      </c>
      <c r="J664" s="43" t="str">
        <f>TEXT(tbl_dashboard[[#This Row],[Fecha]],"mmmm")</f>
        <v>Marzo</v>
      </c>
      <c r="K664" s="43">
        <f>WEEKNUM(tbl_dashboard[[#This Row],[Fecha]],2)</f>
        <v>13</v>
      </c>
    </row>
    <row r="665" spans="2:11" x14ac:dyDescent="0.2">
      <c r="B665" s="75">
        <v>43549</v>
      </c>
      <c r="C665" s="43" t="s">
        <v>171</v>
      </c>
      <c r="D665" s="43" t="s">
        <v>165</v>
      </c>
      <c r="E665" s="43" t="s">
        <v>162</v>
      </c>
      <c r="F665" s="43" t="s">
        <v>169</v>
      </c>
      <c r="G665" s="43">
        <v>9670</v>
      </c>
      <c r="H665" s="43">
        <v>2514.1999999999998</v>
      </c>
      <c r="I665" s="43">
        <f>YEAR(tbl_dashboard[[#This Row],[Fecha]])</f>
        <v>2019</v>
      </c>
      <c r="J665" s="43" t="str">
        <f>TEXT(tbl_dashboard[[#This Row],[Fecha]],"mmmm")</f>
        <v>Marzo</v>
      </c>
      <c r="K665" s="43">
        <f>WEEKNUM(tbl_dashboard[[#This Row],[Fecha]],2)</f>
        <v>13</v>
      </c>
    </row>
    <row r="666" spans="2:11" x14ac:dyDescent="0.2">
      <c r="B666" s="75">
        <v>43549</v>
      </c>
      <c r="C666" s="43" t="s">
        <v>172</v>
      </c>
      <c r="D666" s="43" t="s">
        <v>168</v>
      </c>
      <c r="E666" s="43" t="s">
        <v>162</v>
      </c>
      <c r="F666" s="43" t="s">
        <v>169</v>
      </c>
      <c r="G666" s="43">
        <v>8905</v>
      </c>
      <c r="H666" s="43">
        <v>3562</v>
      </c>
      <c r="I666" s="43">
        <f>YEAR(tbl_dashboard[[#This Row],[Fecha]])</f>
        <v>2019</v>
      </c>
      <c r="J666" s="43" t="str">
        <f>TEXT(tbl_dashboard[[#This Row],[Fecha]],"mmmm")</f>
        <v>Marzo</v>
      </c>
      <c r="K666" s="43">
        <f>WEEKNUM(tbl_dashboard[[#This Row],[Fecha]],2)</f>
        <v>13</v>
      </c>
    </row>
    <row r="667" spans="2:11" x14ac:dyDescent="0.2">
      <c r="B667" s="75">
        <v>43548</v>
      </c>
      <c r="C667" s="43" t="s">
        <v>173</v>
      </c>
      <c r="D667" s="43" t="s">
        <v>161</v>
      </c>
      <c r="E667" s="43" t="s">
        <v>166</v>
      </c>
      <c r="F667" s="43" t="s">
        <v>169</v>
      </c>
      <c r="G667" s="43">
        <v>8001</v>
      </c>
      <c r="H667" s="43">
        <v>3200.4</v>
      </c>
      <c r="I667" s="43">
        <f>YEAR(tbl_dashboard[[#This Row],[Fecha]])</f>
        <v>2019</v>
      </c>
      <c r="J667" s="43" t="str">
        <f>TEXT(tbl_dashboard[[#This Row],[Fecha]],"mmmm")</f>
        <v>Marzo</v>
      </c>
      <c r="K667" s="43">
        <f>WEEKNUM(tbl_dashboard[[#This Row],[Fecha]],2)</f>
        <v>12</v>
      </c>
    </row>
    <row r="668" spans="2:11" x14ac:dyDescent="0.2">
      <c r="B668" s="75">
        <v>43554</v>
      </c>
      <c r="C668" s="43" t="s">
        <v>174</v>
      </c>
      <c r="D668" s="43" t="s">
        <v>165</v>
      </c>
      <c r="E668" s="43" t="s">
        <v>162</v>
      </c>
      <c r="F668" s="43" t="s">
        <v>163</v>
      </c>
      <c r="G668" s="43">
        <v>6497</v>
      </c>
      <c r="H668" s="43">
        <v>1819.16</v>
      </c>
      <c r="I668" s="43">
        <f>YEAR(tbl_dashboard[[#This Row],[Fecha]])</f>
        <v>2019</v>
      </c>
      <c r="J668" s="43" t="str">
        <f>TEXT(tbl_dashboard[[#This Row],[Fecha]],"mmmm")</f>
        <v>Marzo</v>
      </c>
      <c r="K668" s="43">
        <f>WEEKNUM(tbl_dashboard[[#This Row],[Fecha]],2)</f>
        <v>13</v>
      </c>
    </row>
    <row r="669" spans="2:11" x14ac:dyDescent="0.2">
      <c r="B669" s="75">
        <v>43554</v>
      </c>
      <c r="C669" s="43" t="s">
        <v>175</v>
      </c>
      <c r="D669" s="43" t="s">
        <v>168</v>
      </c>
      <c r="E669" s="43" t="s">
        <v>162</v>
      </c>
      <c r="F669" s="43" t="s">
        <v>163</v>
      </c>
      <c r="G669" s="43">
        <v>5836</v>
      </c>
      <c r="H669" s="43">
        <v>1050.48</v>
      </c>
      <c r="I669" s="43">
        <f>YEAR(tbl_dashboard[[#This Row],[Fecha]])</f>
        <v>2019</v>
      </c>
      <c r="J669" s="43" t="str">
        <f>TEXT(tbl_dashboard[[#This Row],[Fecha]],"mmmm")</f>
        <v>Marzo</v>
      </c>
      <c r="K669" s="43">
        <f>WEEKNUM(tbl_dashboard[[#This Row],[Fecha]],2)</f>
        <v>13</v>
      </c>
    </row>
    <row r="670" spans="2:11" x14ac:dyDescent="0.2">
      <c r="B670" s="75">
        <v>43554</v>
      </c>
      <c r="C670" s="43" t="s">
        <v>176</v>
      </c>
      <c r="D670" s="43" t="s">
        <v>168</v>
      </c>
      <c r="E670" s="43" t="s">
        <v>162</v>
      </c>
      <c r="F670" s="43" t="s">
        <v>169</v>
      </c>
      <c r="G670" s="43">
        <v>4311</v>
      </c>
      <c r="H670" s="43">
        <v>1034.6400000000001</v>
      </c>
      <c r="I670" s="43">
        <f>YEAR(tbl_dashboard[[#This Row],[Fecha]])</f>
        <v>2019</v>
      </c>
      <c r="J670" s="43" t="str">
        <f>TEXT(tbl_dashboard[[#This Row],[Fecha]],"mmmm")</f>
        <v>Marzo</v>
      </c>
      <c r="K670" s="43">
        <f>WEEKNUM(tbl_dashboard[[#This Row],[Fecha]],2)</f>
        <v>13</v>
      </c>
    </row>
    <row r="671" spans="2:11" x14ac:dyDescent="0.2">
      <c r="B671" s="75">
        <v>43554</v>
      </c>
      <c r="C671" s="43" t="s">
        <v>177</v>
      </c>
      <c r="D671" s="43" t="s">
        <v>165</v>
      </c>
      <c r="E671" s="43" t="s">
        <v>166</v>
      </c>
      <c r="F671" s="43" t="s">
        <v>169</v>
      </c>
      <c r="G671" s="43">
        <v>5278</v>
      </c>
      <c r="H671" s="43">
        <v>1108.3800000000001</v>
      </c>
      <c r="I671" s="43">
        <f>YEAR(tbl_dashboard[[#This Row],[Fecha]])</f>
        <v>2019</v>
      </c>
      <c r="J671" s="43" t="str">
        <f>TEXT(tbl_dashboard[[#This Row],[Fecha]],"mmmm")</f>
        <v>Marzo</v>
      </c>
      <c r="K671" s="43">
        <f>WEEKNUM(tbl_dashboard[[#This Row],[Fecha]],2)</f>
        <v>13</v>
      </c>
    </row>
    <row r="672" spans="2:11" x14ac:dyDescent="0.2">
      <c r="B672" s="75">
        <v>43554</v>
      </c>
      <c r="C672" s="43" t="s">
        <v>178</v>
      </c>
      <c r="D672" s="43" t="s">
        <v>165</v>
      </c>
      <c r="E672" s="43" t="s">
        <v>162</v>
      </c>
      <c r="F672" s="43" t="s">
        <v>163</v>
      </c>
      <c r="G672" s="43">
        <v>4518</v>
      </c>
      <c r="H672" s="43">
        <v>1536.12</v>
      </c>
      <c r="I672" s="43">
        <f>YEAR(tbl_dashboard[[#This Row],[Fecha]])</f>
        <v>2019</v>
      </c>
      <c r="J672" s="43" t="str">
        <f>TEXT(tbl_dashboard[[#This Row],[Fecha]],"mmmm")</f>
        <v>Marzo</v>
      </c>
      <c r="K672" s="43">
        <f>WEEKNUM(tbl_dashboard[[#This Row],[Fecha]],2)</f>
        <v>13</v>
      </c>
    </row>
    <row r="673" spans="2:11" x14ac:dyDescent="0.2">
      <c r="B673" s="75">
        <v>43554</v>
      </c>
      <c r="C673" s="43" t="s">
        <v>179</v>
      </c>
      <c r="D673" s="43" t="s">
        <v>165</v>
      </c>
      <c r="E673" s="43" t="s">
        <v>166</v>
      </c>
      <c r="F673" s="43" t="s">
        <v>163</v>
      </c>
      <c r="G673" s="43">
        <v>7167</v>
      </c>
      <c r="H673" s="43">
        <v>2580.12</v>
      </c>
      <c r="I673" s="43">
        <f>YEAR(tbl_dashboard[[#This Row],[Fecha]])</f>
        <v>2019</v>
      </c>
      <c r="J673" s="43" t="str">
        <f>TEXT(tbl_dashboard[[#This Row],[Fecha]],"mmmm")</f>
        <v>Marzo</v>
      </c>
      <c r="K673" s="43">
        <f>WEEKNUM(tbl_dashboard[[#This Row],[Fecha]],2)</f>
        <v>13</v>
      </c>
    </row>
    <row r="674" spans="2:11" x14ac:dyDescent="0.2">
      <c r="B674" s="75">
        <v>43554</v>
      </c>
      <c r="C674" s="43" t="s">
        <v>180</v>
      </c>
      <c r="D674" s="43" t="s">
        <v>161</v>
      </c>
      <c r="E674" s="43" t="s">
        <v>166</v>
      </c>
      <c r="F674" s="43" t="s">
        <v>169</v>
      </c>
      <c r="G674" s="43">
        <v>8612</v>
      </c>
      <c r="H674" s="43">
        <v>1377.92</v>
      </c>
      <c r="I674" s="43">
        <f>YEAR(tbl_dashboard[[#This Row],[Fecha]])</f>
        <v>2019</v>
      </c>
      <c r="J674" s="43" t="str">
        <f>TEXT(tbl_dashboard[[#This Row],[Fecha]],"mmmm")</f>
        <v>Marzo</v>
      </c>
      <c r="K674" s="43">
        <f>WEEKNUM(tbl_dashboard[[#This Row],[Fecha]],2)</f>
        <v>13</v>
      </c>
    </row>
    <row r="675" spans="2:11" x14ac:dyDescent="0.2">
      <c r="B675" s="75">
        <v>43550</v>
      </c>
      <c r="C675" s="43" t="s">
        <v>181</v>
      </c>
      <c r="D675" s="43" t="s">
        <v>161</v>
      </c>
      <c r="E675" s="43" t="s">
        <v>162</v>
      </c>
      <c r="F675" s="43" t="s">
        <v>163</v>
      </c>
      <c r="G675" s="43">
        <v>3078</v>
      </c>
      <c r="H675" s="43">
        <v>1385.1</v>
      </c>
      <c r="I675" s="43">
        <f>YEAR(tbl_dashboard[[#This Row],[Fecha]])</f>
        <v>2019</v>
      </c>
      <c r="J675" s="43" t="str">
        <f>TEXT(tbl_dashboard[[#This Row],[Fecha]],"mmmm")</f>
        <v>Marzo</v>
      </c>
      <c r="K675" s="43">
        <f>WEEKNUM(tbl_dashboard[[#This Row],[Fecha]],2)</f>
        <v>13</v>
      </c>
    </row>
    <row r="676" spans="2:11" x14ac:dyDescent="0.2">
      <c r="B676" s="75">
        <v>43549</v>
      </c>
      <c r="C676" s="43" t="s">
        <v>182</v>
      </c>
      <c r="D676" s="43" t="s">
        <v>165</v>
      </c>
      <c r="E676" s="43" t="s">
        <v>162</v>
      </c>
      <c r="F676" s="43" t="s">
        <v>169</v>
      </c>
      <c r="G676" s="43">
        <v>6623</v>
      </c>
      <c r="H676" s="43">
        <v>2384.2800000000002</v>
      </c>
      <c r="I676" s="43">
        <f>YEAR(tbl_dashboard[[#This Row],[Fecha]])</f>
        <v>2019</v>
      </c>
      <c r="J676" s="43" t="str">
        <f>TEXT(tbl_dashboard[[#This Row],[Fecha]],"mmmm")</f>
        <v>Marzo</v>
      </c>
      <c r="K676" s="43">
        <f>WEEKNUM(tbl_dashboard[[#This Row],[Fecha]],2)</f>
        <v>13</v>
      </c>
    </row>
    <row r="677" spans="2:11" x14ac:dyDescent="0.2">
      <c r="B677" s="75">
        <v>43549</v>
      </c>
      <c r="C677" s="43" t="s">
        <v>183</v>
      </c>
      <c r="D677" s="43" t="s">
        <v>168</v>
      </c>
      <c r="E677" s="43" t="s">
        <v>166</v>
      </c>
      <c r="F677" s="43" t="s">
        <v>169</v>
      </c>
      <c r="G677" s="43">
        <v>6153</v>
      </c>
      <c r="H677" s="43">
        <v>2030.49</v>
      </c>
      <c r="I677" s="43">
        <f>YEAR(tbl_dashboard[[#This Row],[Fecha]])</f>
        <v>2019</v>
      </c>
      <c r="J677" s="43" t="str">
        <f>TEXT(tbl_dashboard[[#This Row],[Fecha]],"mmmm")</f>
        <v>Marzo</v>
      </c>
      <c r="K677" s="43">
        <f>WEEKNUM(tbl_dashboard[[#This Row],[Fecha]],2)</f>
        <v>13</v>
      </c>
    </row>
    <row r="678" spans="2:11" x14ac:dyDescent="0.2">
      <c r="B678" s="75">
        <v>43549</v>
      </c>
      <c r="C678" s="43" t="s">
        <v>184</v>
      </c>
      <c r="D678" s="43" t="s">
        <v>168</v>
      </c>
      <c r="E678" s="43" t="s">
        <v>166</v>
      </c>
      <c r="F678" s="43" t="s">
        <v>169</v>
      </c>
      <c r="G678" s="43">
        <v>8954</v>
      </c>
      <c r="H678" s="43">
        <v>1880.34</v>
      </c>
      <c r="I678" s="43">
        <f>YEAR(tbl_dashboard[[#This Row],[Fecha]])</f>
        <v>2019</v>
      </c>
      <c r="J678" s="43" t="str">
        <f>TEXT(tbl_dashboard[[#This Row],[Fecha]],"mmmm")</f>
        <v>Marzo</v>
      </c>
      <c r="K678" s="43">
        <f>WEEKNUM(tbl_dashboard[[#This Row],[Fecha]],2)</f>
        <v>13</v>
      </c>
    </row>
    <row r="679" spans="2:11" x14ac:dyDescent="0.2">
      <c r="B679" s="75">
        <v>43549</v>
      </c>
      <c r="C679" s="43" t="s">
        <v>185</v>
      </c>
      <c r="D679" s="43" t="s">
        <v>165</v>
      </c>
      <c r="E679" s="43" t="s">
        <v>166</v>
      </c>
      <c r="F679" s="43" t="s">
        <v>169</v>
      </c>
      <c r="G679" s="43">
        <v>5985</v>
      </c>
      <c r="H679" s="43">
        <v>957.6</v>
      </c>
      <c r="I679" s="43">
        <f>YEAR(tbl_dashboard[[#This Row],[Fecha]])</f>
        <v>2019</v>
      </c>
      <c r="J679" s="43" t="str">
        <f>TEXT(tbl_dashboard[[#This Row],[Fecha]],"mmmm")</f>
        <v>Marzo</v>
      </c>
      <c r="K679" s="43">
        <f>WEEKNUM(tbl_dashboard[[#This Row],[Fecha]],2)</f>
        <v>13</v>
      </c>
    </row>
    <row r="680" spans="2:11" x14ac:dyDescent="0.2">
      <c r="B680" s="75">
        <v>43548</v>
      </c>
      <c r="C680" s="43" t="s">
        <v>186</v>
      </c>
      <c r="D680" s="43" t="s">
        <v>165</v>
      </c>
      <c r="E680" s="43" t="s">
        <v>162</v>
      </c>
      <c r="F680" s="43" t="s">
        <v>169</v>
      </c>
      <c r="G680" s="43">
        <v>2063</v>
      </c>
      <c r="H680" s="43">
        <v>309.45</v>
      </c>
      <c r="I680" s="43">
        <f>YEAR(tbl_dashboard[[#This Row],[Fecha]])</f>
        <v>2019</v>
      </c>
      <c r="J680" s="43" t="str">
        <f>TEXT(tbl_dashboard[[#This Row],[Fecha]],"mmmm")</f>
        <v>Marzo</v>
      </c>
      <c r="K680" s="43">
        <f>WEEKNUM(tbl_dashboard[[#This Row],[Fecha]],2)</f>
        <v>12</v>
      </c>
    </row>
    <row r="681" spans="2:11" x14ac:dyDescent="0.2">
      <c r="B681" s="75">
        <v>43555</v>
      </c>
      <c r="C681" s="43" t="s">
        <v>187</v>
      </c>
      <c r="D681" s="43" t="s">
        <v>165</v>
      </c>
      <c r="E681" s="43" t="s">
        <v>166</v>
      </c>
      <c r="F681" s="43" t="s">
        <v>163</v>
      </c>
      <c r="G681" s="43">
        <v>8310</v>
      </c>
      <c r="H681" s="43">
        <v>2326.8000000000002</v>
      </c>
      <c r="I681" s="43">
        <f>YEAR(tbl_dashboard[[#This Row],[Fecha]])</f>
        <v>2019</v>
      </c>
      <c r="J681" s="43" t="str">
        <f>TEXT(tbl_dashboard[[#This Row],[Fecha]],"mmmm")</f>
        <v>Marzo</v>
      </c>
      <c r="K681" s="43">
        <f>WEEKNUM(tbl_dashboard[[#This Row],[Fecha]],2)</f>
        <v>13</v>
      </c>
    </row>
    <row r="682" spans="2:11" x14ac:dyDescent="0.2">
      <c r="B682" s="75">
        <v>43555</v>
      </c>
      <c r="C682" s="43" t="s">
        <v>188</v>
      </c>
      <c r="D682" s="43" t="s">
        <v>161</v>
      </c>
      <c r="E682" s="43" t="s">
        <v>162</v>
      </c>
      <c r="F682" s="43" t="s">
        <v>163</v>
      </c>
      <c r="G682" s="43">
        <v>10620</v>
      </c>
      <c r="H682" s="43">
        <v>4566.6000000000004</v>
      </c>
      <c r="I682" s="43">
        <f>YEAR(tbl_dashboard[[#This Row],[Fecha]])</f>
        <v>2019</v>
      </c>
      <c r="J682" s="43" t="str">
        <f>TEXT(tbl_dashboard[[#This Row],[Fecha]],"mmmm")</f>
        <v>Marzo</v>
      </c>
      <c r="K682" s="43">
        <f>WEEKNUM(tbl_dashboard[[#This Row],[Fecha]],2)</f>
        <v>13</v>
      </c>
    </row>
    <row r="683" spans="2:11" x14ac:dyDescent="0.2">
      <c r="B683" s="75">
        <v>43555</v>
      </c>
      <c r="C683" s="43" t="s">
        <v>189</v>
      </c>
      <c r="D683" s="43" t="s">
        <v>165</v>
      </c>
      <c r="E683" s="43" t="s">
        <v>162</v>
      </c>
      <c r="F683" s="43" t="s">
        <v>169</v>
      </c>
      <c r="G683" s="43">
        <v>11451</v>
      </c>
      <c r="H683" s="43">
        <v>1946.67</v>
      </c>
      <c r="I683" s="43">
        <f>YEAR(tbl_dashboard[[#This Row],[Fecha]])</f>
        <v>2019</v>
      </c>
      <c r="J683" s="43" t="str">
        <f>TEXT(tbl_dashboard[[#This Row],[Fecha]],"mmmm")</f>
        <v>Marzo</v>
      </c>
      <c r="K683" s="43">
        <f>WEEKNUM(tbl_dashboard[[#This Row],[Fecha]],2)</f>
        <v>13</v>
      </c>
    </row>
    <row r="684" spans="2:11" x14ac:dyDescent="0.2">
      <c r="B684" s="75">
        <v>43585</v>
      </c>
      <c r="C684" s="43" t="s">
        <v>160</v>
      </c>
      <c r="D684" s="43" t="s">
        <v>165</v>
      </c>
      <c r="E684" s="43" t="s">
        <v>162</v>
      </c>
      <c r="F684" s="43" t="s">
        <v>169</v>
      </c>
      <c r="G684" s="43">
        <v>5236</v>
      </c>
      <c r="H684" s="43">
        <v>1047.2</v>
      </c>
      <c r="I684" s="43">
        <f>YEAR(tbl_dashboard[[#This Row],[Fecha]])</f>
        <v>2019</v>
      </c>
      <c r="J684" s="43" t="str">
        <f>TEXT(tbl_dashboard[[#This Row],[Fecha]],"mmmm")</f>
        <v>Abril</v>
      </c>
      <c r="K684" s="43">
        <f>WEEKNUM(tbl_dashboard[[#This Row],[Fecha]],2)</f>
        <v>18</v>
      </c>
    </row>
    <row r="685" spans="2:11" x14ac:dyDescent="0.2">
      <c r="B685" s="75">
        <v>43585</v>
      </c>
      <c r="C685" s="43" t="s">
        <v>164</v>
      </c>
      <c r="D685" s="43" t="s">
        <v>168</v>
      </c>
      <c r="E685" s="43" t="s">
        <v>162</v>
      </c>
      <c r="F685" s="43" t="s">
        <v>163</v>
      </c>
      <c r="G685" s="43">
        <v>5760</v>
      </c>
      <c r="H685" s="43">
        <v>1324.8</v>
      </c>
      <c r="I685" s="43">
        <f>YEAR(tbl_dashboard[[#This Row],[Fecha]])</f>
        <v>2019</v>
      </c>
      <c r="J685" s="43" t="str">
        <f>TEXT(tbl_dashboard[[#This Row],[Fecha]],"mmmm")</f>
        <v>Abril</v>
      </c>
      <c r="K685" s="43">
        <f>WEEKNUM(tbl_dashboard[[#This Row],[Fecha]],2)</f>
        <v>18</v>
      </c>
    </row>
    <row r="686" spans="2:11" x14ac:dyDescent="0.2">
      <c r="B686" s="75">
        <v>43585</v>
      </c>
      <c r="C686" s="43" t="s">
        <v>167</v>
      </c>
      <c r="D686" s="43" t="s">
        <v>165</v>
      </c>
      <c r="E686" s="43" t="s">
        <v>162</v>
      </c>
      <c r="F686" s="43" t="s">
        <v>163</v>
      </c>
      <c r="G686" s="43">
        <v>3643</v>
      </c>
      <c r="H686" s="43">
        <v>1602.92</v>
      </c>
      <c r="I686" s="43">
        <f>YEAR(tbl_dashboard[[#This Row],[Fecha]])</f>
        <v>2019</v>
      </c>
      <c r="J686" s="43" t="str">
        <f>TEXT(tbl_dashboard[[#This Row],[Fecha]],"mmmm")</f>
        <v>Abril</v>
      </c>
      <c r="K686" s="43">
        <f>WEEKNUM(tbl_dashboard[[#This Row],[Fecha]],2)</f>
        <v>18</v>
      </c>
    </row>
    <row r="687" spans="2:11" x14ac:dyDescent="0.2">
      <c r="B687" s="75">
        <v>43585</v>
      </c>
      <c r="C687" s="43" t="s">
        <v>170</v>
      </c>
      <c r="D687" s="43" t="s">
        <v>161</v>
      </c>
      <c r="E687" s="43" t="s">
        <v>162</v>
      </c>
      <c r="F687" s="43" t="s">
        <v>169</v>
      </c>
      <c r="G687" s="43">
        <v>7106</v>
      </c>
      <c r="H687" s="43">
        <v>2344.98</v>
      </c>
      <c r="I687" s="43">
        <f>YEAR(tbl_dashboard[[#This Row],[Fecha]])</f>
        <v>2019</v>
      </c>
      <c r="J687" s="43" t="str">
        <f>TEXT(tbl_dashboard[[#This Row],[Fecha]],"mmmm")</f>
        <v>Abril</v>
      </c>
      <c r="K687" s="43">
        <f>WEEKNUM(tbl_dashboard[[#This Row],[Fecha]],2)</f>
        <v>18</v>
      </c>
    </row>
    <row r="688" spans="2:11" x14ac:dyDescent="0.2">
      <c r="B688" s="75">
        <v>43581</v>
      </c>
      <c r="C688" s="43" t="s">
        <v>171</v>
      </c>
      <c r="D688" s="43" t="s">
        <v>161</v>
      </c>
      <c r="E688" s="43" t="s">
        <v>162</v>
      </c>
      <c r="F688" s="43" t="s">
        <v>163</v>
      </c>
      <c r="G688" s="43">
        <v>4744</v>
      </c>
      <c r="H688" s="43">
        <v>1423.2</v>
      </c>
      <c r="I688" s="43">
        <f>YEAR(tbl_dashboard[[#This Row],[Fecha]])</f>
        <v>2019</v>
      </c>
      <c r="J688" s="43" t="str">
        <f>TEXT(tbl_dashboard[[#This Row],[Fecha]],"mmmm")</f>
        <v>Abril</v>
      </c>
      <c r="K688" s="43">
        <f>WEEKNUM(tbl_dashboard[[#This Row],[Fecha]],2)</f>
        <v>17</v>
      </c>
    </row>
    <row r="689" spans="2:11" x14ac:dyDescent="0.2">
      <c r="B689" s="75">
        <v>43580</v>
      </c>
      <c r="C689" s="43" t="s">
        <v>172</v>
      </c>
      <c r="D689" s="43" t="s">
        <v>161</v>
      </c>
      <c r="E689" s="43" t="s">
        <v>166</v>
      </c>
      <c r="F689" s="43" t="s">
        <v>169</v>
      </c>
      <c r="G689" s="43">
        <v>7525</v>
      </c>
      <c r="H689" s="43">
        <v>1505</v>
      </c>
      <c r="I689" s="43">
        <f>YEAR(tbl_dashboard[[#This Row],[Fecha]])</f>
        <v>2019</v>
      </c>
      <c r="J689" s="43" t="str">
        <f>TEXT(tbl_dashboard[[#This Row],[Fecha]],"mmmm")</f>
        <v>Abril</v>
      </c>
      <c r="K689" s="43">
        <f>WEEKNUM(tbl_dashboard[[#This Row],[Fecha]],2)</f>
        <v>17</v>
      </c>
    </row>
    <row r="690" spans="2:11" x14ac:dyDescent="0.2">
      <c r="B690" s="75">
        <v>43580</v>
      </c>
      <c r="C690" s="43" t="s">
        <v>173</v>
      </c>
      <c r="D690" s="43" t="s">
        <v>168</v>
      </c>
      <c r="E690" s="43" t="s">
        <v>166</v>
      </c>
      <c r="F690" s="43" t="s">
        <v>169</v>
      </c>
      <c r="G690" s="43">
        <v>5913</v>
      </c>
      <c r="H690" s="43">
        <v>1655.64</v>
      </c>
      <c r="I690" s="43">
        <f>YEAR(tbl_dashboard[[#This Row],[Fecha]])</f>
        <v>2019</v>
      </c>
      <c r="J690" s="43" t="str">
        <f>TEXT(tbl_dashboard[[#This Row],[Fecha]],"mmmm")</f>
        <v>Abril</v>
      </c>
      <c r="K690" s="43">
        <f>WEEKNUM(tbl_dashboard[[#This Row],[Fecha]],2)</f>
        <v>17</v>
      </c>
    </row>
    <row r="691" spans="2:11" x14ac:dyDescent="0.2">
      <c r="B691" s="75">
        <v>43580</v>
      </c>
      <c r="C691" s="43" t="s">
        <v>174</v>
      </c>
      <c r="D691" s="43" t="s">
        <v>161</v>
      </c>
      <c r="E691" s="43" t="s">
        <v>162</v>
      </c>
      <c r="F691" s="43" t="s">
        <v>169</v>
      </c>
      <c r="G691" s="43">
        <v>3209</v>
      </c>
      <c r="H691" s="43">
        <v>1251.51</v>
      </c>
      <c r="I691" s="43">
        <f>YEAR(tbl_dashboard[[#This Row],[Fecha]])</f>
        <v>2019</v>
      </c>
      <c r="J691" s="43" t="str">
        <f>TEXT(tbl_dashboard[[#This Row],[Fecha]],"mmmm")</f>
        <v>Abril</v>
      </c>
      <c r="K691" s="43">
        <f>WEEKNUM(tbl_dashboard[[#This Row],[Fecha]],2)</f>
        <v>17</v>
      </c>
    </row>
    <row r="692" spans="2:11" x14ac:dyDescent="0.2">
      <c r="B692" s="75">
        <v>43580</v>
      </c>
      <c r="C692" s="43" t="s">
        <v>175</v>
      </c>
      <c r="D692" s="43" t="s">
        <v>161</v>
      </c>
      <c r="E692" s="43" t="s">
        <v>166</v>
      </c>
      <c r="F692" s="43" t="s">
        <v>169</v>
      </c>
      <c r="G692" s="43">
        <v>7110</v>
      </c>
      <c r="H692" s="43">
        <v>2630.7</v>
      </c>
      <c r="I692" s="43">
        <f>YEAR(tbl_dashboard[[#This Row],[Fecha]])</f>
        <v>2019</v>
      </c>
      <c r="J692" s="43" t="str">
        <f>TEXT(tbl_dashboard[[#This Row],[Fecha]],"mmmm")</f>
        <v>Abril</v>
      </c>
      <c r="K692" s="43">
        <f>WEEKNUM(tbl_dashboard[[#This Row],[Fecha]],2)</f>
        <v>17</v>
      </c>
    </row>
    <row r="693" spans="2:11" x14ac:dyDescent="0.2">
      <c r="B693" s="75">
        <v>43579</v>
      </c>
      <c r="C693" s="43" t="s">
        <v>176</v>
      </c>
      <c r="D693" s="43" t="s">
        <v>168</v>
      </c>
      <c r="E693" s="43" t="s">
        <v>162</v>
      </c>
      <c r="F693" s="43" t="s">
        <v>169</v>
      </c>
      <c r="G693" s="43">
        <v>8711</v>
      </c>
      <c r="H693" s="43">
        <v>3919.95</v>
      </c>
      <c r="I693" s="43">
        <f>YEAR(tbl_dashboard[[#This Row],[Fecha]])</f>
        <v>2019</v>
      </c>
      <c r="J693" s="43" t="str">
        <f>TEXT(tbl_dashboard[[#This Row],[Fecha]],"mmmm")</f>
        <v>Abril</v>
      </c>
      <c r="K693" s="43">
        <f>WEEKNUM(tbl_dashboard[[#This Row],[Fecha]],2)</f>
        <v>17</v>
      </c>
    </row>
    <row r="694" spans="2:11" x14ac:dyDescent="0.2">
      <c r="B694" s="75">
        <v>43585</v>
      </c>
      <c r="C694" s="43" t="s">
        <v>177</v>
      </c>
      <c r="D694" s="43" t="s">
        <v>161</v>
      </c>
      <c r="E694" s="43" t="s">
        <v>162</v>
      </c>
      <c r="F694" s="43" t="s">
        <v>163</v>
      </c>
      <c r="G694" s="43">
        <v>7404</v>
      </c>
      <c r="H694" s="43">
        <v>1258.68</v>
      </c>
      <c r="I694" s="43">
        <f>YEAR(tbl_dashboard[[#This Row],[Fecha]])</f>
        <v>2019</v>
      </c>
      <c r="J694" s="43" t="str">
        <f>TEXT(tbl_dashboard[[#This Row],[Fecha]],"mmmm")</f>
        <v>Abril</v>
      </c>
      <c r="K694" s="43">
        <f>WEEKNUM(tbl_dashboard[[#This Row],[Fecha]],2)</f>
        <v>18</v>
      </c>
    </row>
    <row r="695" spans="2:11" x14ac:dyDescent="0.2">
      <c r="B695" s="75">
        <v>43585</v>
      </c>
      <c r="C695" s="43" t="s">
        <v>178</v>
      </c>
      <c r="D695" s="43" t="s">
        <v>168</v>
      </c>
      <c r="E695" s="43" t="s">
        <v>162</v>
      </c>
      <c r="F695" s="43" t="s">
        <v>163</v>
      </c>
      <c r="G695" s="43">
        <v>9596</v>
      </c>
      <c r="H695" s="43">
        <v>3070.72</v>
      </c>
      <c r="I695" s="43">
        <f>YEAR(tbl_dashboard[[#This Row],[Fecha]])</f>
        <v>2019</v>
      </c>
      <c r="J695" s="43" t="str">
        <f>TEXT(tbl_dashboard[[#This Row],[Fecha]],"mmmm")</f>
        <v>Abril</v>
      </c>
      <c r="K695" s="43">
        <f>WEEKNUM(tbl_dashboard[[#This Row],[Fecha]],2)</f>
        <v>18</v>
      </c>
    </row>
    <row r="696" spans="2:11" x14ac:dyDescent="0.2">
      <c r="B696" s="75">
        <v>43585</v>
      </c>
      <c r="C696" s="43" t="s">
        <v>179</v>
      </c>
      <c r="D696" s="43" t="s">
        <v>168</v>
      </c>
      <c r="E696" s="43" t="s">
        <v>166</v>
      </c>
      <c r="F696" s="43" t="s">
        <v>169</v>
      </c>
      <c r="G696" s="43">
        <v>5804</v>
      </c>
      <c r="H696" s="43">
        <v>1683.16</v>
      </c>
      <c r="I696" s="43">
        <f>YEAR(tbl_dashboard[[#This Row],[Fecha]])</f>
        <v>2019</v>
      </c>
      <c r="J696" s="43" t="str">
        <f>TEXT(tbl_dashboard[[#This Row],[Fecha]],"mmmm")</f>
        <v>Abril</v>
      </c>
      <c r="K696" s="43">
        <f>WEEKNUM(tbl_dashboard[[#This Row],[Fecha]],2)</f>
        <v>18</v>
      </c>
    </row>
    <row r="697" spans="2:11" x14ac:dyDescent="0.2">
      <c r="B697" s="75">
        <v>43585</v>
      </c>
      <c r="C697" s="43" t="s">
        <v>180</v>
      </c>
      <c r="D697" s="43" t="s">
        <v>168</v>
      </c>
      <c r="E697" s="43" t="s">
        <v>162</v>
      </c>
      <c r="F697" s="43" t="s">
        <v>169</v>
      </c>
      <c r="G697" s="43">
        <v>8169</v>
      </c>
      <c r="H697" s="43">
        <v>1470.42</v>
      </c>
      <c r="I697" s="43">
        <f>YEAR(tbl_dashboard[[#This Row],[Fecha]])</f>
        <v>2019</v>
      </c>
      <c r="J697" s="43" t="str">
        <f>TEXT(tbl_dashboard[[#This Row],[Fecha]],"mmmm")</f>
        <v>Abril</v>
      </c>
      <c r="K697" s="43">
        <f>WEEKNUM(tbl_dashboard[[#This Row],[Fecha]],2)</f>
        <v>18</v>
      </c>
    </row>
    <row r="698" spans="2:11" x14ac:dyDescent="0.2">
      <c r="B698" s="75">
        <v>43585</v>
      </c>
      <c r="C698" s="43" t="s">
        <v>181</v>
      </c>
      <c r="D698" s="43" t="s">
        <v>168</v>
      </c>
      <c r="E698" s="43" t="s">
        <v>166</v>
      </c>
      <c r="F698" s="43" t="s">
        <v>163</v>
      </c>
      <c r="G698" s="43">
        <v>9516</v>
      </c>
      <c r="H698" s="43">
        <v>2949.96</v>
      </c>
      <c r="I698" s="43">
        <f>YEAR(tbl_dashboard[[#This Row],[Fecha]])</f>
        <v>2019</v>
      </c>
      <c r="J698" s="43" t="str">
        <f>TEXT(tbl_dashboard[[#This Row],[Fecha]],"mmmm")</f>
        <v>Abril</v>
      </c>
      <c r="K698" s="43">
        <f>WEEKNUM(tbl_dashboard[[#This Row],[Fecha]],2)</f>
        <v>18</v>
      </c>
    </row>
    <row r="699" spans="2:11" x14ac:dyDescent="0.2">
      <c r="B699" s="75">
        <v>43585</v>
      </c>
      <c r="C699" s="43" t="s">
        <v>182</v>
      </c>
      <c r="D699" s="43" t="s">
        <v>165</v>
      </c>
      <c r="E699" s="43" t="s">
        <v>166</v>
      </c>
      <c r="F699" s="43" t="s">
        <v>163</v>
      </c>
      <c r="G699" s="43">
        <v>5780</v>
      </c>
      <c r="H699" s="43">
        <v>2543.1999999999998</v>
      </c>
      <c r="I699" s="43">
        <f>YEAR(tbl_dashboard[[#This Row],[Fecha]])</f>
        <v>2019</v>
      </c>
      <c r="J699" s="43" t="str">
        <f>TEXT(tbl_dashboard[[#This Row],[Fecha]],"mmmm")</f>
        <v>Abril</v>
      </c>
      <c r="K699" s="43">
        <f>WEEKNUM(tbl_dashboard[[#This Row],[Fecha]],2)</f>
        <v>18</v>
      </c>
    </row>
    <row r="700" spans="2:11" x14ac:dyDescent="0.2">
      <c r="B700" s="75">
        <v>43585</v>
      </c>
      <c r="C700" s="43" t="s">
        <v>183</v>
      </c>
      <c r="D700" s="43" t="s">
        <v>168</v>
      </c>
      <c r="E700" s="43" t="s">
        <v>166</v>
      </c>
      <c r="F700" s="43" t="s">
        <v>169</v>
      </c>
      <c r="G700" s="43">
        <v>4745</v>
      </c>
      <c r="H700" s="43">
        <v>1233.7</v>
      </c>
      <c r="I700" s="43">
        <f>YEAR(tbl_dashboard[[#This Row],[Fecha]])</f>
        <v>2019</v>
      </c>
      <c r="J700" s="43" t="str">
        <f>TEXT(tbl_dashboard[[#This Row],[Fecha]],"mmmm")</f>
        <v>Abril</v>
      </c>
      <c r="K700" s="43">
        <f>WEEKNUM(tbl_dashboard[[#This Row],[Fecha]],2)</f>
        <v>18</v>
      </c>
    </row>
    <row r="701" spans="2:11" x14ac:dyDescent="0.2">
      <c r="B701" s="75">
        <v>43581</v>
      </c>
      <c r="C701" s="43" t="s">
        <v>184</v>
      </c>
      <c r="D701" s="43" t="s">
        <v>161</v>
      </c>
      <c r="E701" s="43" t="s">
        <v>162</v>
      </c>
      <c r="F701" s="43" t="s">
        <v>163</v>
      </c>
      <c r="G701" s="43">
        <v>10863</v>
      </c>
      <c r="H701" s="43">
        <v>3584.79</v>
      </c>
      <c r="I701" s="43">
        <f>YEAR(tbl_dashboard[[#This Row],[Fecha]])</f>
        <v>2019</v>
      </c>
      <c r="J701" s="43" t="str">
        <f>TEXT(tbl_dashboard[[#This Row],[Fecha]],"mmmm")</f>
        <v>Abril</v>
      </c>
      <c r="K701" s="43">
        <f>WEEKNUM(tbl_dashboard[[#This Row],[Fecha]],2)</f>
        <v>17</v>
      </c>
    </row>
    <row r="702" spans="2:11" x14ac:dyDescent="0.2">
      <c r="B702" s="75">
        <v>43580</v>
      </c>
      <c r="C702" s="43" t="s">
        <v>185</v>
      </c>
      <c r="D702" s="43" t="s">
        <v>165</v>
      </c>
      <c r="E702" s="43" t="s">
        <v>162</v>
      </c>
      <c r="F702" s="43" t="s">
        <v>169</v>
      </c>
      <c r="G702" s="43">
        <v>4695</v>
      </c>
      <c r="H702" s="43">
        <v>939</v>
      </c>
      <c r="I702" s="43">
        <f>YEAR(tbl_dashboard[[#This Row],[Fecha]])</f>
        <v>2019</v>
      </c>
      <c r="J702" s="43" t="str">
        <f>TEXT(tbl_dashboard[[#This Row],[Fecha]],"mmmm")</f>
        <v>Abril</v>
      </c>
      <c r="K702" s="43">
        <f>WEEKNUM(tbl_dashboard[[#This Row],[Fecha]],2)</f>
        <v>17</v>
      </c>
    </row>
    <row r="703" spans="2:11" x14ac:dyDescent="0.2">
      <c r="B703" s="75">
        <v>43580</v>
      </c>
      <c r="C703" s="43" t="s">
        <v>186</v>
      </c>
      <c r="D703" s="43" t="s">
        <v>168</v>
      </c>
      <c r="E703" s="43" t="s">
        <v>162</v>
      </c>
      <c r="F703" s="43" t="s">
        <v>169</v>
      </c>
      <c r="G703" s="43">
        <v>8700</v>
      </c>
      <c r="H703" s="43">
        <v>3654</v>
      </c>
      <c r="I703" s="43">
        <f>YEAR(tbl_dashboard[[#This Row],[Fecha]])</f>
        <v>2019</v>
      </c>
      <c r="J703" s="43" t="str">
        <f>TEXT(tbl_dashboard[[#This Row],[Fecha]],"mmmm")</f>
        <v>Abril</v>
      </c>
      <c r="K703" s="43">
        <f>WEEKNUM(tbl_dashboard[[#This Row],[Fecha]],2)</f>
        <v>17</v>
      </c>
    </row>
    <row r="704" spans="2:11" x14ac:dyDescent="0.2">
      <c r="B704" s="75">
        <v>43580</v>
      </c>
      <c r="C704" s="43" t="s">
        <v>187</v>
      </c>
      <c r="D704" s="43" t="s">
        <v>165</v>
      </c>
      <c r="E704" s="43" t="s">
        <v>162</v>
      </c>
      <c r="F704" s="43" t="s">
        <v>169</v>
      </c>
      <c r="G704" s="43">
        <v>3430</v>
      </c>
      <c r="H704" s="43">
        <v>1234.8</v>
      </c>
      <c r="I704" s="43">
        <f>YEAR(tbl_dashboard[[#This Row],[Fecha]])</f>
        <v>2019</v>
      </c>
      <c r="J704" s="43" t="str">
        <f>TEXT(tbl_dashboard[[#This Row],[Fecha]],"mmmm")</f>
        <v>Abril</v>
      </c>
      <c r="K704" s="43">
        <f>WEEKNUM(tbl_dashboard[[#This Row],[Fecha]],2)</f>
        <v>17</v>
      </c>
    </row>
    <row r="705" spans="2:11" x14ac:dyDescent="0.2">
      <c r="B705" s="75">
        <v>43580</v>
      </c>
      <c r="C705" s="43" t="s">
        <v>188</v>
      </c>
      <c r="D705" s="43" t="s">
        <v>165</v>
      </c>
      <c r="E705" s="43" t="s">
        <v>166</v>
      </c>
      <c r="F705" s="43" t="s">
        <v>169</v>
      </c>
      <c r="G705" s="43">
        <v>7264</v>
      </c>
      <c r="H705" s="43">
        <v>1380.16</v>
      </c>
      <c r="I705" s="43">
        <f>YEAR(tbl_dashboard[[#This Row],[Fecha]])</f>
        <v>2019</v>
      </c>
      <c r="J705" s="43" t="str">
        <f>TEXT(tbl_dashboard[[#This Row],[Fecha]],"mmmm")</f>
        <v>Abril</v>
      </c>
      <c r="K705" s="43">
        <f>WEEKNUM(tbl_dashboard[[#This Row],[Fecha]],2)</f>
        <v>17</v>
      </c>
    </row>
    <row r="706" spans="2:11" x14ac:dyDescent="0.2">
      <c r="B706" s="75">
        <v>43579</v>
      </c>
      <c r="C706" s="43" t="s">
        <v>189</v>
      </c>
      <c r="D706" s="43" t="s">
        <v>165</v>
      </c>
      <c r="E706" s="43" t="s">
        <v>162</v>
      </c>
      <c r="F706" s="43" t="s">
        <v>169</v>
      </c>
      <c r="G706" s="43">
        <v>3340</v>
      </c>
      <c r="H706" s="43">
        <v>668</v>
      </c>
      <c r="I706" s="43">
        <f>YEAR(tbl_dashboard[[#This Row],[Fecha]])</f>
        <v>2019</v>
      </c>
      <c r="J706" s="43" t="str">
        <f>TEXT(tbl_dashboard[[#This Row],[Fecha]],"mmmm")</f>
        <v>Abril</v>
      </c>
      <c r="K706" s="43">
        <f>WEEKNUM(tbl_dashboard[[#This Row],[Fecha]],2)</f>
        <v>17</v>
      </c>
    </row>
    <row r="707" spans="2:11" x14ac:dyDescent="0.2">
      <c r="B707" s="75">
        <v>43616</v>
      </c>
      <c r="C707" s="43" t="s">
        <v>160</v>
      </c>
      <c r="D707" s="43" t="s">
        <v>161</v>
      </c>
      <c r="E707" s="43" t="s">
        <v>162</v>
      </c>
      <c r="F707" s="43" t="s">
        <v>163</v>
      </c>
      <c r="G707" s="43">
        <v>2906</v>
      </c>
      <c r="H707" s="43">
        <v>1278.6400000000001</v>
      </c>
      <c r="I707" s="43">
        <f>YEAR(tbl_dashboard[[#This Row],[Fecha]])</f>
        <v>2019</v>
      </c>
      <c r="J707" s="43" t="str">
        <f>TEXT(tbl_dashboard[[#This Row],[Fecha]],"mmmm")</f>
        <v>Mayo</v>
      </c>
      <c r="K707" s="43">
        <f>WEEKNUM(tbl_dashboard[[#This Row],[Fecha]],2)</f>
        <v>22</v>
      </c>
    </row>
    <row r="708" spans="2:11" x14ac:dyDescent="0.2">
      <c r="B708" s="75">
        <v>43616</v>
      </c>
      <c r="C708" s="43" t="s">
        <v>164</v>
      </c>
      <c r="D708" s="43" t="s">
        <v>165</v>
      </c>
      <c r="E708" s="43" t="s">
        <v>166</v>
      </c>
      <c r="F708" s="43" t="s">
        <v>163</v>
      </c>
      <c r="G708" s="43">
        <v>9058</v>
      </c>
      <c r="H708" s="43">
        <v>3623.2</v>
      </c>
      <c r="I708" s="43">
        <f>YEAR(tbl_dashboard[[#This Row],[Fecha]])</f>
        <v>2019</v>
      </c>
      <c r="J708" s="43" t="str">
        <f>TEXT(tbl_dashboard[[#This Row],[Fecha]],"mmmm")</f>
        <v>Mayo</v>
      </c>
      <c r="K708" s="43">
        <f>WEEKNUM(tbl_dashboard[[#This Row],[Fecha]],2)</f>
        <v>22</v>
      </c>
    </row>
    <row r="709" spans="2:11" x14ac:dyDescent="0.2">
      <c r="B709" s="75">
        <v>43616</v>
      </c>
      <c r="C709" s="43" t="s">
        <v>167</v>
      </c>
      <c r="D709" s="43" t="s">
        <v>168</v>
      </c>
      <c r="E709" s="43" t="s">
        <v>166</v>
      </c>
      <c r="F709" s="43" t="s">
        <v>169</v>
      </c>
      <c r="G709" s="43">
        <v>5570</v>
      </c>
      <c r="H709" s="43">
        <v>1002.6</v>
      </c>
      <c r="I709" s="43">
        <f>YEAR(tbl_dashboard[[#This Row],[Fecha]])</f>
        <v>2019</v>
      </c>
      <c r="J709" s="43" t="str">
        <f>TEXT(tbl_dashboard[[#This Row],[Fecha]],"mmmm")</f>
        <v>Mayo</v>
      </c>
      <c r="K709" s="43">
        <f>WEEKNUM(tbl_dashboard[[#This Row],[Fecha]],2)</f>
        <v>22</v>
      </c>
    </row>
    <row r="710" spans="2:11" x14ac:dyDescent="0.2">
      <c r="B710" s="75">
        <v>43616</v>
      </c>
      <c r="C710" s="43" t="s">
        <v>170</v>
      </c>
      <c r="D710" s="43" t="s">
        <v>161</v>
      </c>
      <c r="E710" s="43" t="s">
        <v>162</v>
      </c>
      <c r="F710" s="43" t="s">
        <v>169</v>
      </c>
      <c r="G710" s="43">
        <v>8034</v>
      </c>
      <c r="H710" s="43">
        <v>2972.58</v>
      </c>
      <c r="I710" s="43">
        <f>YEAR(tbl_dashboard[[#This Row],[Fecha]])</f>
        <v>2019</v>
      </c>
      <c r="J710" s="43" t="str">
        <f>TEXT(tbl_dashboard[[#This Row],[Fecha]],"mmmm")</f>
        <v>Mayo</v>
      </c>
      <c r="K710" s="43">
        <f>WEEKNUM(tbl_dashboard[[#This Row],[Fecha]],2)</f>
        <v>22</v>
      </c>
    </row>
    <row r="711" spans="2:11" x14ac:dyDescent="0.2">
      <c r="B711" s="75">
        <v>43616</v>
      </c>
      <c r="C711" s="43" t="s">
        <v>171</v>
      </c>
      <c r="D711" s="43" t="s">
        <v>165</v>
      </c>
      <c r="E711" s="43" t="s">
        <v>166</v>
      </c>
      <c r="F711" s="43" t="s">
        <v>163</v>
      </c>
      <c r="G711" s="43">
        <v>8014</v>
      </c>
      <c r="H711" s="43">
        <v>2564.48</v>
      </c>
      <c r="I711" s="43">
        <f>YEAR(tbl_dashboard[[#This Row],[Fecha]])</f>
        <v>2019</v>
      </c>
      <c r="J711" s="43" t="str">
        <f>TEXT(tbl_dashboard[[#This Row],[Fecha]],"mmmm")</f>
        <v>Mayo</v>
      </c>
      <c r="K711" s="43">
        <f>WEEKNUM(tbl_dashboard[[#This Row],[Fecha]],2)</f>
        <v>22</v>
      </c>
    </row>
    <row r="712" spans="2:11" x14ac:dyDescent="0.2">
      <c r="B712" s="75">
        <v>43616</v>
      </c>
      <c r="C712" s="43" t="s">
        <v>172</v>
      </c>
      <c r="D712" s="43" t="s">
        <v>165</v>
      </c>
      <c r="E712" s="43" t="s">
        <v>166</v>
      </c>
      <c r="F712" s="43" t="s">
        <v>163</v>
      </c>
      <c r="G712" s="43">
        <v>2807</v>
      </c>
      <c r="H712" s="43">
        <v>701.75</v>
      </c>
      <c r="I712" s="43">
        <f>YEAR(tbl_dashboard[[#This Row],[Fecha]])</f>
        <v>2019</v>
      </c>
      <c r="J712" s="43" t="str">
        <f>TEXT(tbl_dashboard[[#This Row],[Fecha]],"mmmm")</f>
        <v>Mayo</v>
      </c>
      <c r="K712" s="43">
        <f>WEEKNUM(tbl_dashboard[[#This Row],[Fecha]],2)</f>
        <v>22</v>
      </c>
    </row>
    <row r="713" spans="2:11" x14ac:dyDescent="0.2">
      <c r="B713" s="75">
        <v>43615</v>
      </c>
      <c r="C713" s="43" t="s">
        <v>173</v>
      </c>
      <c r="D713" s="43" t="s">
        <v>161</v>
      </c>
      <c r="E713" s="43" t="s">
        <v>166</v>
      </c>
      <c r="F713" s="43" t="s">
        <v>169</v>
      </c>
      <c r="G713" s="43">
        <v>5825</v>
      </c>
      <c r="H713" s="43">
        <v>1456.25</v>
      </c>
      <c r="I713" s="43">
        <f>YEAR(tbl_dashboard[[#This Row],[Fecha]])</f>
        <v>2019</v>
      </c>
      <c r="J713" s="43" t="str">
        <f>TEXT(tbl_dashboard[[#This Row],[Fecha]],"mmmm")</f>
        <v>Mayo</v>
      </c>
      <c r="K713" s="43">
        <f>WEEKNUM(tbl_dashboard[[#This Row],[Fecha]],2)</f>
        <v>22</v>
      </c>
    </row>
    <row r="714" spans="2:11" x14ac:dyDescent="0.2">
      <c r="B714" s="75">
        <v>43611</v>
      </c>
      <c r="C714" s="43" t="s">
        <v>174</v>
      </c>
      <c r="D714" s="43" t="s">
        <v>165</v>
      </c>
      <c r="E714" s="43" t="s">
        <v>166</v>
      </c>
      <c r="F714" s="43" t="s">
        <v>163</v>
      </c>
      <c r="G714" s="43">
        <v>5975</v>
      </c>
      <c r="H714" s="43">
        <v>1195</v>
      </c>
      <c r="I714" s="43">
        <f>YEAR(tbl_dashboard[[#This Row],[Fecha]])</f>
        <v>2019</v>
      </c>
      <c r="J714" s="43" t="str">
        <f>TEXT(tbl_dashboard[[#This Row],[Fecha]],"mmmm")</f>
        <v>Mayo</v>
      </c>
      <c r="K714" s="43">
        <f>WEEKNUM(tbl_dashboard[[#This Row],[Fecha]],2)</f>
        <v>21</v>
      </c>
    </row>
    <row r="715" spans="2:11" x14ac:dyDescent="0.2">
      <c r="B715" s="75">
        <v>43610</v>
      </c>
      <c r="C715" s="43" t="s">
        <v>175</v>
      </c>
      <c r="D715" s="43" t="s">
        <v>168</v>
      </c>
      <c r="E715" s="43" t="s">
        <v>166</v>
      </c>
      <c r="F715" s="43" t="s">
        <v>169</v>
      </c>
      <c r="G715" s="43">
        <v>5361</v>
      </c>
      <c r="H715" s="43">
        <v>1983.57</v>
      </c>
      <c r="I715" s="43">
        <f>YEAR(tbl_dashboard[[#This Row],[Fecha]])</f>
        <v>2019</v>
      </c>
      <c r="J715" s="43" t="str">
        <f>TEXT(tbl_dashboard[[#This Row],[Fecha]],"mmmm")</f>
        <v>Mayo</v>
      </c>
      <c r="K715" s="43">
        <f>WEEKNUM(tbl_dashboard[[#This Row],[Fecha]],2)</f>
        <v>21</v>
      </c>
    </row>
    <row r="716" spans="2:11" x14ac:dyDescent="0.2">
      <c r="B716" s="75">
        <v>43610</v>
      </c>
      <c r="C716" s="43" t="s">
        <v>176</v>
      </c>
      <c r="D716" s="43" t="s">
        <v>161</v>
      </c>
      <c r="E716" s="43" t="s">
        <v>166</v>
      </c>
      <c r="F716" s="43" t="s">
        <v>169</v>
      </c>
      <c r="G716" s="43">
        <v>7790</v>
      </c>
      <c r="H716" s="43">
        <v>3116</v>
      </c>
      <c r="I716" s="43">
        <f>YEAR(tbl_dashboard[[#This Row],[Fecha]])</f>
        <v>2019</v>
      </c>
      <c r="J716" s="43" t="str">
        <f>TEXT(tbl_dashboard[[#This Row],[Fecha]],"mmmm")</f>
        <v>Mayo</v>
      </c>
      <c r="K716" s="43">
        <f>WEEKNUM(tbl_dashboard[[#This Row],[Fecha]],2)</f>
        <v>21</v>
      </c>
    </row>
    <row r="717" spans="2:11" x14ac:dyDescent="0.2">
      <c r="B717" s="75">
        <v>43610</v>
      </c>
      <c r="C717" s="43" t="s">
        <v>177</v>
      </c>
      <c r="D717" s="43" t="s">
        <v>165</v>
      </c>
      <c r="E717" s="43" t="s">
        <v>162</v>
      </c>
      <c r="F717" s="43" t="s">
        <v>169</v>
      </c>
      <c r="G717" s="43">
        <v>11011</v>
      </c>
      <c r="H717" s="43">
        <v>4404.3999999999996</v>
      </c>
      <c r="I717" s="43">
        <f>YEAR(tbl_dashboard[[#This Row],[Fecha]])</f>
        <v>2019</v>
      </c>
      <c r="J717" s="43" t="str">
        <f>TEXT(tbl_dashboard[[#This Row],[Fecha]],"mmmm")</f>
        <v>Mayo</v>
      </c>
      <c r="K717" s="43">
        <f>WEEKNUM(tbl_dashboard[[#This Row],[Fecha]],2)</f>
        <v>21</v>
      </c>
    </row>
    <row r="718" spans="2:11" x14ac:dyDescent="0.2">
      <c r="B718" s="75">
        <v>43610</v>
      </c>
      <c r="C718" s="43" t="s">
        <v>178</v>
      </c>
      <c r="D718" s="43" t="s">
        <v>168</v>
      </c>
      <c r="E718" s="43" t="s">
        <v>162</v>
      </c>
      <c r="F718" s="43" t="s">
        <v>169</v>
      </c>
      <c r="G718" s="43">
        <v>7232</v>
      </c>
      <c r="H718" s="43">
        <v>2024.96</v>
      </c>
      <c r="I718" s="43">
        <f>YEAR(tbl_dashboard[[#This Row],[Fecha]])</f>
        <v>2019</v>
      </c>
      <c r="J718" s="43" t="str">
        <f>TEXT(tbl_dashboard[[#This Row],[Fecha]],"mmmm")</f>
        <v>Mayo</v>
      </c>
      <c r="K718" s="43">
        <f>WEEKNUM(tbl_dashboard[[#This Row],[Fecha]],2)</f>
        <v>21</v>
      </c>
    </row>
    <row r="719" spans="2:11" x14ac:dyDescent="0.2">
      <c r="B719" s="75">
        <v>43609</v>
      </c>
      <c r="C719" s="43" t="s">
        <v>179</v>
      </c>
      <c r="D719" s="43" t="s">
        <v>168</v>
      </c>
      <c r="E719" s="43" t="s">
        <v>166</v>
      </c>
      <c r="F719" s="43" t="s">
        <v>169</v>
      </c>
      <c r="G719" s="43">
        <v>9263</v>
      </c>
      <c r="H719" s="43">
        <v>3612.57</v>
      </c>
      <c r="I719" s="43">
        <f>YEAR(tbl_dashboard[[#This Row],[Fecha]])</f>
        <v>2019</v>
      </c>
      <c r="J719" s="43" t="str">
        <f>TEXT(tbl_dashboard[[#This Row],[Fecha]],"mmmm")</f>
        <v>Mayo</v>
      </c>
      <c r="K719" s="43">
        <f>WEEKNUM(tbl_dashboard[[#This Row],[Fecha]],2)</f>
        <v>21</v>
      </c>
    </row>
    <row r="720" spans="2:11" x14ac:dyDescent="0.2">
      <c r="B720" s="75">
        <v>43646</v>
      </c>
      <c r="C720" s="43" t="s">
        <v>160</v>
      </c>
      <c r="D720" s="43" t="s">
        <v>165</v>
      </c>
      <c r="E720" s="43" t="s">
        <v>162</v>
      </c>
      <c r="F720" s="43" t="s">
        <v>163</v>
      </c>
      <c r="G720" s="43">
        <v>4757</v>
      </c>
      <c r="H720" s="43">
        <v>1236.82</v>
      </c>
      <c r="I720" s="43">
        <f>YEAR(tbl_dashboard[[#This Row],[Fecha]])</f>
        <v>2019</v>
      </c>
      <c r="J720" s="43" t="str">
        <f>TEXT(tbl_dashboard[[#This Row],[Fecha]],"mmmm")</f>
        <v>Junio</v>
      </c>
      <c r="K720" s="43">
        <f>WEEKNUM(tbl_dashboard[[#This Row],[Fecha]],2)</f>
        <v>26</v>
      </c>
    </row>
    <row r="721" spans="2:11" x14ac:dyDescent="0.2">
      <c r="B721" s="75">
        <v>43646</v>
      </c>
      <c r="C721" s="43" t="s">
        <v>164</v>
      </c>
      <c r="D721" s="43" t="s">
        <v>165</v>
      </c>
      <c r="E721" s="43" t="s">
        <v>162</v>
      </c>
      <c r="F721" s="43" t="s">
        <v>163</v>
      </c>
      <c r="G721" s="43">
        <v>1475</v>
      </c>
      <c r="H721" s="43">
        <v>295</v>
      </c>
      <c r="I721" s="43">
        <f>YEAR(tbl_dashboard[[#This Row],[Fecha]])</f>
        <v>2019</v>
      </c>
      <c r="J721" s="43" t="str">
        <f>TEXT(tbl_dashboard[[#This Row],[Fecha]],"mmmm")</f>
        <v>Junio</v>
      </c>
      <c r="K721" s="43">
        <f>WEEKNUM(tbl_dashboard[[#This Row],[Fecha]],2)</f>
        <v>26</v>
      </c>
    </row>
    <row r="722" spans="2:11" x14ac:dyDescent="0.2">
      <c r="B722" s="75">
        <v>43646</v>
      </c>
      <c r="C722" s="43" t="s">
        <v>167</v>
      </c>
      <c r="D722" s="43" t="s">
        <v>165</v>
      </c>
      <c r="E722" s="43" t="s">
        <v>162</v>
      </c>
      <c r="F722" s="43" t="s">
        <v>169</v>
      </c>
      <c r="G722" s="43">
        <v>8880</v>
      </c>
      <c r="H722" s="43">
        <v>1953.6</v>
      </c>
      <c r="I722" s="43">
        <f>YEAR(tbl_dashboard[[#This Row],[Fecha]])</f>
        <v>2019</v>
      </c>
      <c r="J722" s="43" t="str">
        <f>TEXT(tbl_dashboard[[#This Row],[Fecha]],"mmmm")</f>
        <v>Junio</v>
      </c>
      <c r="K722" s="43">
        <f>WEEKNUM(tbl_dashboard[[#This Row],[Fecha]],2)</f>
        <v>26</v>
      </c>
    </row>
    <row r="723" spans="2:11" x14ac:dyDescent="0.2">
      <c r="B723" s="75">
        <v>43646</v>
      </c>
      <c r="C723" s="43" t="s">
        <v>170</v>
      </c>
      <c r="D723" s="43" t="s">
        <v>161</v>
      </c>
      <c r="E723" s="43" t="s">
        <v>166</v>
      </c>
      <c r="F723" s="43" t="s">
        <v>169</v>
      </c>
      <c r="G723" s="43">
        <v>3727</v>
      </c>
      <c r="H723" s="43">
        <v>931.75</v>
      </c>
      <c r="I723" s="43">
        <f>YEAR(tbl_dashboard[[#This Row],[Fecha]])</f>
        <v>2019</v>
      </c>
      <c r="J723" s="43" t="str">
        <f>TEXT(tbl_dashboard[[#This Row],[Fecha]],"mmmm")</f>
        <v>Junio</v>
      </c>
      <c r="K723" s="43">
        <f>WEEKNUM(tbl_dashboard[[#This Row],[Fecha]],2)</f>
        <v>26</v>
      </c>
    </row>
    <row r="724" spans="2:11" x14ac:dyDescent="0.2">
      <c r="B724" s="75">
        <v>43646</v>
      </c>
      <c r="C724" s="43" t="s">
        <v>171</v>
      </c>
      <c r="D724" s="43" t="s">
        <v>161</v>
      </c>
      <c r="E724" s="43" t="s">
        <v>162</v>
      </c>
      <c r="F724" s="43" t="s">
        <v>163</v>
      </c>
      <c r="G724" s="43">
        <v>9202</v>
      </c>
      <c r="H724" s="43">
        <v>2944.64</v>
      </c>
      <c r="I724" s="43">
        <f>YEAR(tbl_dashboard[[#This Row],[Fecha]])</f>
        <v>2019</v>
      </c>
      <c r="J724" s="43" t="str">
        <f>TEXT(tbl_dashboard[[#This Row],[Fecha]],"mmmm")</f>
        <v>Junio</v>
      </c>
      <c r="K724" s="43">
        <f>WEEKNUM(tbl_dashboard[[#This Row],[Fecha]],2)</f>
        <v>26</v>
      </c>
    </row>
    <row r="725" spans="2:11" x14ac:dyDescent="0.2">
      <c r="B725" s="75">
        <v>43646</v>
      </c>
      <c r="C725" s="43" t="s">
        <v>172</v>
      </c>
      <c r="D725" s="43" t="s">
        <v>165</v>
      </c>
      <c r="E725" s="43" t="s">
        <v>162</v>
      </c>
      <c r="F725" s="43" t="s">
        <v>163</v>
      </c>
      <c r="G725" s="43">
        <v>7577</v>
      </c>
      <c r="H725" s="43">
        <v>3409.65</v>
      </c>
      <c r="I725" s="43">
        <f>YEAR(tbl_dashboard[[#This Row],[Fecha]])</f>
        <v>2019</v>
      </c>
      <c r="J725" s="43" t="str">
        <f>TEXT(tbl_dashboard[[#This Row],[Fecha]],"mmmm")</f>
        <v>Junio</v>
      </c>
      <c r="K725" s="43">
        <f>WEEKNUM(tbl_dashboard[[#This Row],[Fecha]],2)</f>
        <v>26</v>
      </c>
    </row>
    <row r="726" spans="2:11" x14ac:dyDescent="0.2">
      <c r="B726" s="75">
        <v>43646</v>
      </c>
      <c r="C726" s="43" t="s">
        <v>173</v>
      </c>
      <c r="D726" s="43" t="s">
        <v>168</v>
      </c>
      <c r="E726" s="43" t="s">
        <v>166</v>
      </c>
      <c r="F726" s="43" t="s">
        <v>169</v>
      </c>
      <c r="G726" s="43">
        <v>7589</v>
      </c>
      <c r="H726" s="43">
        <v>3035.6</v>
      </c>
      <c r="I726" s="43">
        <f>YEAR(tbl_dashboard[[#This Row],[Fecha]])</f>
        <v>2019</v>
      </c>
      <c r="J726" s="43" t="str">
        <f>TEXT(tbl_dashboard[[#This Row],[Fecha]],"mmmm")</f>
        <v>Junio</v>
      </c>
      <c r="K726" s="43">
        <f>WEEKNUM(tbl_dashboard[[#This Row],[Fecha]],2)</f>
        <v>26</v>
      </c>
    </row>
    <row r="727" spans="2:11" x14ac:dyDescent="0.2">
      <c r="B727" s="75">
        <v>43642</v>
      </c>
      <c r="C727" s="43" t="s">
        <v>174</v>
      </c>
      <c r="D727" s="43" t="s">
        <v>168</v>
      </c>
      <c r="E727" s="43" t="s">
        <v>162</v>
      </c>
      <c r="F727" s="43" t="s">
        <v>163</v>
      </c>
      <c r="G727" s="43">
        <v>8828</v>
      </c>
      <c r="H727" s="43">
        <v>2560.12</v>
      </c>
      <c r="I727" s="43">
        <f>YEAR(tbl_dashboard[[#This Row],[Fecha]])</f>
        <v>2019</v>
      </c>
      <c r="J727" s="43" t="str">
        <f>TEXT(tbl_dashboard[[#This Row],[Fecha]],"mmmm")</f>
        <v>Junio</v>
      </c>
      <c r="K727" s="43">
        <f>WEEKNUM(tbl_dashboard[[#This Row],[Fecha]],2)</f>
        <v>26</v>
      </c>
    </row>
    <row r="728" spans="2:11" x14ac:dyDescent="0.2">
      <c r="B728" s="75">
        <v>43641</v>
      </c>
      <c r="C728" s="43" t="s">
        <v>175</v>
      </c>
      <c r="D728" s="43" t="s">
        <v>165</v>
      </c>
      <c r="E728" s="43" t="s">
        <v>166</v>
      </c>
      <c r="F728" s="43" t="s">
        <v>169</v>
      </c>
      <c r="G728" s="43">
        <v>8355</v>
      </c>
      <c r="H728" s="43">
        <v>3258.45</v>
      </c>
      <c r="I728" s="43">
        <f>YEAR(tbl_dashboard[[#This Row],[Fecha]])</f>
        <v>2019</v>
      </c>
      <c r="J728" s="43" t="str">
        <f>TEXT(tbl_dashboard[[#This Row],[Fecha]],"mmmm")</f>
        <v>Junio</v>
      </c>
      <c r="K728" s="43">
        <f>WEEKNUM(tbl_dashboard[[#This Row],[Fecha]],2)</f>
        <v>26</v>
      </c>
    </row>
    <row r="729" spans="2:11" x14ac:dyDescent="0.2">
      <c r="B729" s="75">
        <v>43641</v>
      </c>
      <c r="C729" s="43" t="s">
        <v>176</v>
      </c>
      <c r="D729" s="43" t="s">
        <v>165</v>
      </c>
      <c r="E729" s="43" t="s">
        <v>166</v>
      </c>
      <c r="F729" s="43" t="s">
        <v>169</v>
      </c>
      <c r="G729" s="43">
        <v>5112</v>
      </c>
      <c r="H729" s="43">
        <v>1022.4</v>
      </c>
      <c r="I729" s="43">
        <f>YEAR(tbl_dashboard[[#This Row],[Fecha]])</f>
        <v>2019</v>
      </c>
      <c r="J729" s="43" t="str">
        <f>TEXT(tbl_dashboard[[#This Row],[Fecha]],"mmmm")</f>
        <v>Junio</v>
      </c>
      <c r="K729" s="43">
        <f>WEEKNUM(tbl_dashboard[[#This Row],[Fecha]],2)</f>
        <v>26</v>
      </c>
    </row>
    <row r="730" spans="2:11" x14ac:dyDescent="0.2">
      <c r="B730" s="75">
        <v>43641</v>
      </c>
      <c r="C730" s="43" t="s">
        <v>177</v>
      </c>
      <c r="D730" s="43" t="s">
        <v>165</v>
      </c>
      <c r="E730" s="43" t="s">
        <v>166</v>
      </c>
      <c r="F730" s="43" t="s">
        <v>169</v>
      </c>
      <c r="G730" s="43">
        <v>4800</v>
      </c>
      <c r="H730" s="43">
        <v>1968</v>
      </c>
      <c r="I730" s="43">
        <f>YEAR(tbl_dashboard[[#This Row],[Fecha]])</f>
        <v>2019</v>
      </c>
      <c r="J730" s="43" t="str">
        <f>TEXT(tbl_dashboard[[#This Row],[Fecha]],"mmmm")</f>
        <v>Junio</v>
      </c>
      <c r="K730" s="43">
        <f>WEEKNUM(tbl_dashboard[[#This Row],[Fecha]],2)</f>
        <v>26</v>
      </c>
    </row>
    <row r="731" spans="2:11" x14ac:dyDescent="0.2">
      <c r="B731" s="75">
        <v>43641</v>
      </c>
      <c r="C731" s="43" t="s">
        <v>178</v>
      </c>
      <c r="D731" s="43" t="s">
        <v>161</v>
      </c>
      <c r="E731" s="43" t="s">
        <v>162</v>
      </c>
      <c r="F731" s="43" t="s">
        <v>169</v>
      </c>
      <c r="G731" s="43">
        <v>10015</v>
      </c>
      <c r="H731" s="43">
        <v>2704.05</v>
      </c>
      <c r="I731" s="43">
        <f>YEAR(tbl_dashboard[[#This Row],[Fecha]])</f>
        <v>2019</v>
      </c>
      <c r="J731" s="43" t="str">
        <f>TEXT(tbl_dashboard[[#This Row],[Fecha]],"mmmm")</f>
        <v>Junio</v>
      </c>
      <c r="K731" s="43">
        <f>WEEKNUM(tbl_dashboard[[#This Row],[Fecha]],2)</f>
        <v>26</v>
      </c>
    </row>
    <row r="732" spans="2:11" x14ac:dyDescent="0.2">
      <c r="B732" s="75">
        <v>43640</v>
      </c>
      <c r="C732" s="43" t="s">
        <v>179</v>
      </c>
      <c r="D732" s="43" t="s">
        <v>165</v>
      </c>
      <c r="E732" s="43" t="s">
        <v>166</v>
      </c>
      <c r="F732" s="43" t="s">
        <v>169</v>
      </c>
      <c r="G732" s="43">
        <v>1383</v>
      </c>
      <c r="H732" s="43">
        <v>525.54</v>
      </c>
      <c r="I732" s="43">
        <f>YEAR(tbl_dashboard[[#This Row],[Fecha]])</f>
        <v>2019</v>
      </c>
      <c r="J732" s="43" t="str">
        <f>TEXT(tbl_dashboard[[#This Row],[Fecha]],"mmmm")</f>
        <v>Junio</v>
      </c>
      <c r="K732" s="43">
        <f>WEEKNUM(tbl_dashboard[[#This Row],[Fecha]],2)</f>
        <v>26</v>
      </c>
    </row>
    <row r="733" spans="2:11" x14ac:dyDescent="0.2">
      <c r="B733" s="75">
        <v>43640</v>
      </c>
      <c r="C733" s="43" t="s">
        <v>180</v>
      </c>
      <c r="D733" s="43" t="s">
        <v>165</v>
      </c>
      <c r="E733" s="43" t="s">
        <v>162</v>
      </c>
      <c r="F733" s="43" t="s">
        <v>163</v>
      </c>
      <c r="G733" s="43">
        <v>11901</v>
      </c>
      <c r="H733" s="43">
        <v>3927.33</v>
      </c>
      <c r="I733" s="43">
        <f>YEAR(tbl_dashboard[[#This Row],[Fecha]])</f>
        <v>2019</v>
      </c>
      <c r="J733" s="43" t="str">
        <f>TEXT(tbl_dashboard[[#This Row],[Fecha]],"mmmm")</f>
        <v>Junio</v>
      </c>
      <c r="K733" s="43">
        <f>WEEKNUM(tbl_dashboard[[#This Row],[Fecha]],2)</f>
        <v>26</v>
      </c>
    </row>
    <row r="734" spans="2:11" x14ac:dyDescent="0.2">
      <c r="B734" s="75">
        <v>43640</v>
      </c>
      <c r="C734" s="43" t="s">
        <v>181</v>
      </c>
      <c r="D734" s="43" t="s">
        <v>168</v>
      </c>
      <c r="E734" s="43" t="s">
        <v>162</v>
      </c>
      <c r="F734" s="43" t="s">
        <v>163</v>
      </c>
      <c r="G734" s="43">
        <v>5493</v>
      </c>
      <c r="H734" s="43">
        <v>823.95</v>
      </c>
      <c r="I734" s="43">
        <f>YEAR(tbl_dashboard[[#This Row],[Fecha]])</f>
        <v>2019</v>
      </c>
      <c r="J734" s="43" t="str">
        <f>TEXT(tbl_dashboard[[#This Row],[Fecha]],"mmmm")</f>
        <v>Junio</v>
      </c>
      <c r="K734" s="43">
        <f>WEEKNUM(tbl_dashboard[[#This Row],[Fecha]],2)</f>
        <v>26</v>
      </c>
    </row>
    <row r="735" spans="2:11" x14ac:dyDescent="0.2">
      <c r="B735" s="75">
        <v>43677</v>
      </c>
      <c r="C735" s="43" t="s">
        <v>160</v>
      </c>
      <c r="D735" s="43" t="s">
        <v>165</v>
      </c>
      <c r="E735" s="43" t="s">
        <v>162</v>
      </c>
      <c r="F735" s="43" t="s">
        <v>169</v>
      </c>
      <c r="G735" s="43">
        <v>2655</v>
      </c>
      <c r="H735" s="43">
        <v>769.95</v>
      </c>
      <c r="I735" s="43">
        <f>YEAR(tbl_dashboard[[#This Row],[Fecha]])</f>
        <v>2019</v>
      </c>
      <c r="J735" s="43" t="str">
        <f>TEXT(tbl_dashboard[[#This Row],[Fecha]],"mmmm")</f>
        <v>Julio</v>
      </c>
      <c r="K735" s="43">
        <f>WEEKNUM(tbl_dashboard[[#This Row],[Fecha]],2)</f>
        <v>31</v>
      </c>
    </row>
    <row r="736" spans="2:11" x14ac:dyDescent="0.2">
      <c r="B736" s="75">
        <v>43677</v>
      </c>
      <c r="C736" s="43" t="s">
        <v>164</v>
      </c>
      <c r="D736" s="43" t="s">
        <v>161</v>
      </c>
      <c r="E736" s="43" t="s">
        <v>162</v>
      </c>
      <c r="F736" s="43" t="s">
        <v>169</v>
      </c>
      <c r="G736" s="43">
        <v>4016</v>
      </c>
      <c r="H736" s="43">
        <v>642.55999999999995</v>
      </c>
      <c r="I736" s="43">
        <f>YEAR(tbl_dashboard[[#This Row],[Fecha]])</f>
        <v>2019</v>
      </c>
      <c r="J736" s="43" t="str">
        <f>TEXT(tbl_dashboard[[#This Row],[Fecha]],"mmmm")</f>
        <v>Julio</v>
      </c>
      <c r="K736" s="43">
        <f>WEEKNUM(tbl_dashboard[[#This Row],[Fecha]],2)</f>
        <v>31</v>
      </c>
    </row>
    <row r="737" spans="2:11" x14ac:dyDescent="0.2">
      <c r="B737" s="75">
        <v>43677</v>
      </c>
      <c r="C737" s="43" t="s">
        <v>167</v>
      </c>
      <c r="D737" s="43" t="s">
        <v>161</v>
      </c>
      <c r="E737" s="43" t="s">
        <v>166</v>
      </c>
      <c r="F737" s="43" t="s">
        <v>163</v>
      </c>
      <c r="G737" s="43">
        <v>8320</v>
      </c>
      <c r="H737" s="43">
        <v>3161.6</v>
      </c>
      <c r="I737" s="43">
        <f>YEAR(tbl_dashboard[[#This Row],[Fecha]])</f>
        <v>2019</v>
      </c>
      <c r="J737" s="43" t="str">
        <f>TEXT(tbl_dashboard[[#This Row],[Fecha]],"mmmm")</f>
        <v>Julio</v>
      </c>
      <c r="K737" s="43">
        <f>WEEKNUM(tbl_dashboard[[#This Row],[Fecha]],2)</f>
        <v>31</v>
      </c>
    </row>
    <row r="738" spans="2:11" x14ac:dyDescent="0.2">
      <c r="B738" s="75">
        <v>43677</v>
      </c>
      <c r="C738" s="43" t="s">
        <v>170</v>
      </c>
      <c r="D738" s="43" t="s">
        <v>161</v>
      </c>
      <c r="E738" s="43" t="s">
        <v>162</v>
      </c>
      <c r="F738" s="43" t="s">
        <v>163</v>
      </c>
      <c r="G738" s="43">
        <v>3614</v>
      </c>
      <c r="H738" s="43">
        <v>1084.2</v>
      </c>
      <c r="I738" s="43">
        <f>YEAR(tbl_dashboard[[#This Row],[Fecha]])</f>
        <v>2019</v>
      </c>
      <c r="J738" s="43" t="str">
        <f>TEXT(tbl_dashboard[[#This Row],[Fecha]],"mmmm")</f>
        <v>Julio</v>
      </c>
      <c r="K738" s="43">
        <f>WEEKNUM(tbl_dashboard[[#This Row],[Fecha]],2)</f>
        <v>31</v>
      </c>
    </row>
    <row r="739" spans="2:11" x14ac:dyDescent="0.2">
      <c r="B739" s="75">
        <v>43676</v>
      </c>
      <c r="C739" s="43" t="s">
        <v>171</v>
      </c>
      <c r="D739" s="43" t="s">
        <v>168</v>
      </c>
      <c r="E739" s="43" t="s">
        <v>166</v>
      </c>
      <c r="F739" s="43" t="s">
        <v>169</v>
      </c>
      <c r="G739" s="43">
        <v>3266</v>
      </c>
      <c r="H739" s="43">
        <v>620.54</v>
      </c>
      <c r="I739" s="43">
        <f>YEAR(tbl_dashboard[[#This Row],[Fecha]])</f>
        <v>2019</v>
      </c>
      <c r="J739" s="43" t="str">
        <f>TEXT(tbl_dashboard[[#This Row],[Fecha]],"mmmm")</f>
        <v>Julio</v>
      </c>
      <c r="K739" s="43">
        <f>WEEKNUM(tbl_dashboard[[#This Row],[Fecha]],2)</f>
        <v>31</v>
      </c>
    </row>
    <row r="740" spans="2:11" x14ac:dyDescent="0.2">
      <c r="B740" s="75">
        <v>43672</v>
      </c>
      <c r="C740" s="43" t="s">
        <v>172</v>
      </c>
      <c r="D740" s="43" t="s">
        <v>161</v>
      </c>
      <c r="E740" s="43" t="s">
        <v>166</v>
      </c>
      <c r="F740" s="43" t="s">
        <v>163</v>
      </c>
      <c r="G740" s="43">
        <v>9567</v>
      </c>
      <c r="H740" s="43">
        <v>3252.78</v>
      </c>
      <c r="I740" s="43">
        <f>YEAR(tbl_dashboard[[#This Row],[Fecha]])</f>
        <v>2019</v>
      </c>
      <c r="J740" s="43" t="str">
        <f>TEXT(tbl_dashboard[[#This Row],[Fecha]],"mmmm")</f>
        <v>Julio</v>
      </c>
      <c r="K740" s="43">
        <f>WEEKNUM(tbl_dashboard[[#This Row],[Fecha]],2)</f>
        <v>30</v>
      </c>
    </row>
    <row r="741" spans="2:11" x14ac:dyDescent="0.2">
      <c r="B741" s="75">
        <v>43671</v>
      </c>
      <c r="C741" s="43" t="s">
        <v>173</v>
      </c>
      <c r="D741" s="43" t="s">
        <v>161</v>
      </c>
      <c r="E741" s="43" t="s">
        <v>162</v>
      </c>
      <c r="F741" s="43" t="s">
        <v>169</v>
      </c>
      <c r="G741" s="43">
        <v>7280</v>
      </c>
      <c r="H741" s="43">
        <v>2184</v>
      </c>
      <c r="I741" s="43">
        <f>YEAR(tbl_dashboard[[#This Row],[Fecha]])</f>
        <v>2019</v>
      </c>
      <c r="J741" s="43" t="str">
        <f>TEXT(tbl_dashboard[[#This Row],[Fecha]],"mmmm")</f>
        <v>Julio</v>
      </c>
      <c r="K741" s="43">
        <f>WEEKNUM(tbl_dashboard[[#This Row],[Fecha]],2)</f>
        <v>30</v>
      </c>
    </row>
    <row r="742" spans="2:11" x14ac:dyDescent="0.2">
      <c r="B742" s="75">
        <v>43671</v>
      </c>
      <c r="C742" s="43" t="s">
        <v>174</v>
      </c>
      <c r="D742" s="43" t="s">
        <v>168</v>
      </c>
      <c r="E742" s="43" t="s">
        <v>162</v>
      </c>
      <c r="F742" s="43" t="s">
        <v>169</v>
      </c>
      <c r="G742" s="43">
        <v>8871</v>
      </c>
      <c r="H742" s="43">
        <v>3903.24</v>
      </c>
      <c r="I742" s="43">
        <f>YEAR(tbl_dashboard[[#This Row],[Fecha]])</f>
        <v>2019</v>
      </c>
      <c r="J742" s="43" t="str">
        <f>TEXT(tbl_dashboard[[#This Row],[Fecha]],"mmmm")</f>
        <v>Julio</v>
      </c>
      <c r="K742" s="43">
        <f>WEEKNUM(tbl_dashboard[[#This Row],[Fecha]],2)</f>
        <v>30</v>
      </c>
    </row>
    <row r="743" spans="2:11" x14ac:dyDescent="0.2">
      <c r="B743" s="75">
        <v>43671</v>
      </c>
      <c r="C743" s="43" t="s">
        <v>175</v>
      </c>
      <c r="D743" s="43" t="s">
        <v>161</v>
      </c>
      <c r="E743" s="43" t="s">
        <v>162</v>
      </c>
      <c r="F743" s="43" t="s">
        <v>169</v>
      </c>
      <c r="G743" s="43">
        <v>6551</v>
      </c>
      <c r="H743" s="43">
        <v>2685.91</v>
      </c>
      <c r="I743" s="43">
        <f>YEAR(tbl_dashboard[[#This Row],[Fecha]])</f>
        <v>2019</v>
      </c>
      <c r="J743" s="43" t="str">
        <f>TEXT(tbl_dashboard[[#This Row],[Fecha]],"mmmm")</f>
        <v>Julio</v>
      </c>
      <c r="K743" s="43">
        <f>WEEKNUM(tbl_dashboard[[#This Row],[Fecha]],2)</f>
        <v>30</v>
      </c>
    </row>
    <row r="744" spans="2:11" x14ac:dyDescent="0.2">
      <c r="B744" s="75">
        <v>43671</v>
      </c>
      <c r="C744" s="43" t="s">
        <v>176</v>
      </c>
      <c r="D744" s="43" t="s">
        <v>168</v>
      </c>
      <c r="E744" s="43" t="s">
        <v>166</v>
      </c>
      <c r="F744" s="43" t="s">
        <v>169</v>
      </c>
      <c r="G744" s="43">
        <v>4177</v>
      </c>
      <c r="H744" s="43">
        <v>1086.02</v>
      </c>
      <c r="I744" s="43">
        <f>YEAR(tbl_dashboard[[#This Row],[Fecha]])</f>
        <v>2019</v>
      </c>
      <c r="J744" s="43" t="str">
        <f>TEXT(tbl_dashboard[[#This Row],[Fecha]],"mmmm")</f>
        <v>Julio</v>
      </c>
      <c r="K744" s="43">
        <f>WEEKNUM(tbl_dashboard[[#This Row],[Fecha]],2)</f>
        <v>30</v>
      </c>
    </row>
    <row r="745" spans="2:11" x14ac:dyDescent="0.2">
      <c r="B745" s="75">
        <v>43670</v>
      </c>
      <c r="C745" s="43" t="s">
        <v>177</v>
      </c>
      <c r="D745" s="43" t="s">
        <v>168</v>
      </c>
      <c r="E745" s="43" t="s">
        <v>162</v>
      </c>
      <c r="F745" s="43" t="s">
        <v>169</v>
      </c>
      <c r="G745" s="43">
        <v>9340</v>
      </c>
      <c r="H745" s="43">
        <v>1868</v>
      </c>
      <c r="I745" s="43">
        <f>YEAR(tbl_dashboard[[#This Row],[Fecha]])</f>
        <v>2019</v>
      </c>
      <c r="J745" s="43" t="str">
        <f>TEXT(tbl_dashboard[[#This Row],[Fecha]],"mmmm")</f>
        <v>Julio</v>
      </c>
      <c r="K745" s="43">
        <f>WEEKNUM(tbl_dashboard[[#This Row],[Fecha]],2)</f>
        <v>30</v>
      </c>
    </row>
    <row r="746" spans="2:11" x14ac:dyDescent="0.2">
      <c r="B746" s="75">
        <v>43676</v>
      </c>
      <c r="C746" s="43" t="s">
        <v>178</v>
      </c>
      <c r="D746" s="43" t="s">
        <v>168</v>
      </c>
      <c r="E746" s="43" t="s">
        <v>162</v>
      </c>
      <c r="F746" s="43" t="s">
        <v>163</v>
      </c>
      <c r="G746" s="43">
        <v>5100</v>
      </c>
      <c r="H746" s="43">
        <v>1734</v>
      </c>
      <c r="I746" s="43">
        <f>YEAR(tbl_dashboard[[#This Row],[Fecha]])</f>
        <v>2019</v>
      </c>
      <c r="J746" s="43" t="str">
        <f>TEXT(tbl_dashboard[[#This Row],[Fecha]],"mmmm")</f>
        <v>Julio</v>
      </c>
      <c r="K746" s="43">
        <f>WEEKNUM(tbl_dashboard[[#This Row],[Fecha]],2)</f>
        <v>31</v>
      </c>
    </row>
    <row r="747" spans="2:11" x14ac:dyDescent="0.2">
      <c r="B747" s="75">
        <v>43676</v>
      </c>
      <c r="C747" s="43" t="s">
        <v>179</v>
      </c>
      <c r="D747" s="43" t="s">
        <v>168</v>
      </c>
      <c r="E747" s="43" t="s">
        <v>166</v>
      </c>
      <c r="F747" s="43" t="s">
        <v>163</v>
      </c>
      <c r="G747" s="43">
        <v>6433</v>
      </c>
      <c r="H747" s="43">
        <v>2251.5500000000002</v>
      </c>
      <c r="I747" s="43">
        <f>YEAR(tbl_dashboard[[#This Row],[Fecha]])</f>
        <v>2019</v>
      </c>
      <c r="J747" s="43" t="str">
        <f>TEXT(tbl_dashboard[[#This Row],[Fecha]],"mmmm")</f>
        <v>Julio</v>
      </c>
      <c r="K747" s="43">
        <f>WEEKNUM(tbl_dashboard[[#This Row],[Fecha]],2)</f>
        <v>31</v>
      </c>
    </row>
    <row r="748" spans="2:11" x14ac:dyDescent="0.2">
      <c r="B748" s="75">
        <v>43676</v>
      </c>
      <c r="C748" s="43" t="s">
        <v>180</v>
      </c>
      <c r="D748" s="43" t="s">
        <v>165</v>
      </c>
      <c r="E748" s="43" t="s">
        <v>162</v>
      </c>
      <c r="F748" s="43" t="s">
        <v>169</v>
      </c>
      <c r="G748" s="43">
        <v>5621</v>
      </c>
      <c r="H748" s="43">
        <v>955.57</v>
      </c>
      <c r="I748" s="43">
        <f>YEAR(tbl_dashboard[[#This Row],[Fecha]])</f>
        <v>2019</v>
      </c>
      <c r="J748" s="43" t="str">
        <f>TEXT(tbl_dashboard[[#This Row],[Fecha]],"mmmm")</f>
        <v>Julio</v>
      </c>
      <c r="K748" s="43">
        <f>WEEKNUM(tbl_dashboard[[#This Row],[Fecha]],2)</f>
        <v>31</v>
      </c>
    </row>
    <row r="749" spans="2:11" x14ac:dyDescent="0.2">
      <c r="B749" s="75">
        <v>43676</v>
      </c>
      <c r="C749" s="43" t="s">
        <v>181</v>
      </c>
      <c r="D749" s="43" t="s">
        <v>168</v>
      </c>
      <c r="E749" s="43" t="s">
        <v>166</v>
      </c>
      <c r="F749" s="43" t="s">
        <v>169</v>
      </c>
      <c r="G749" s="43">
        <v>7741</v>
      </c>
      <c r="H749" s="43">
        <v>2786.76</v>
      </c>
      <c r="I749" s="43">
        <f>YEAR(tbl_dashboard[[#This Row],[Fecha]])</f>
        <v>2019</v>
      </c>
      <c r="J749" s="43" t="str">
        <f>TEXT(tbl_dashboard[[#This Row],[Fecha]],"mmmm")</f>
        <v>Julio</v>
      </c>
      <c r="K749" s="43">
        <f>WEEKNUM(tbl_dashboard[[#This Row],[Fecha]],2)</f>
        <v>31</v>
      </c>
    </row>
    <row r="750" spans="2:11" x14ac:dyDescent="0.2">
      <c r="B750" s="75">
        <v>43676</v>
      </c>
      <c r="C750" s="43" t="s">
        <v>182</v>
      </c>
      <c r="D750" s="43" t="s">
        <v>161</v>
      </c>
      <c r="E750" s="43" t="s">
        <v>166</v>
      </c>
      <c r="F750" s="43" t="s">
        <v>163</v>
      </c>
      <c r="G750" s="43">
        <v>5420</v>
      </c>
      <c r="H750" s="43">
        <v>1842.8</v>
      </c>
      <c r="I750" s="43">
        <f>YEAR(tbl_dashboard[[#This Row],[Fecha]])</f>
        <v>2019</v>
      </c>
      <c r="J750" s="43" t="str">
        <f>TEXT(tbl_dashboard[[#This Row],[Fecha]],"mmmm")</f>
        <v>Julio</v>
      </c>
      <c r="K750" s="43">
        <f>WEEKNUM(tbl_dashboard[[#This Row],[Fecha]],2)</f>
        <v>31</v>
      </c>
    </row>
    <row r="751" spans="2:11" x14ac:dyDescent="0.2">
      <c r="B751" s="75">
        <v>43676</v>
      </c>
      <c r="C751" s="43" t="s">
        <v>183</v>
      </c>
      <c r="D751" s="43" t="s">
        <v>165</v>
      </c>
      <c r="E751" s="43" t="s">
        <v>166</v>
      </c>
      <c r="F751" s="43" t="s">
        <v>163</v>
      </c>
      <c r="G751" s="43">
        <v>5381</v>
      </c>
      <c r="H751" s="43">
        <v>968.58</v>
      </c>
      <c r="I751" s="43">
        <f>YEAR(tbl_dashboard[[#This Row],[Fecha]])</f>
        <v>2019</v>
      </c>
      <c r="J751" s="43" t="str">
        <f>TEXT(tbl_dashboard[[#This Row],[Fecha]],"mmmm")</f>
        <v>Julio</v>
      </c>
      <c r="K751" s="43">
        <f>WEEKNUM(tbl_dashboard[[#This Row],[Fecha]],2)</f>
        <v>31</v>
      </c>
    </row>
    <row r="752" spans="2:11" x14ac:dyDescent="0.2">
      <c r="B752" s="75">
        <v>43676</v>
      </c>
      <c r="C752" s="43" t="s">
        <v>184</v>
      </c>
      <c r="D752" s="43" t="s">
        <v>168</v>
      </c>
      <c r="E752" s="43" t="s">
        <v>166</v>
      </c>
      <c r="F752" s="43" t="s">
        <v>169</v>
      </c>
      <c r="G752" s="43">
        <v>7941</v>
      </c>
      <c r="H752" s="43">
        <v>1191.1500000000001</v>
      </c>
      <c r="I752" s="43">
        <f>YEAR(tbl_dashboard[[#This Row],[Fecha]])</f>
        <v>2019</v>
      </c>
      <c r="J752" s="43" t="str">
        <f>TEXT(tbl_dashboard[[#This Row],[Fecha]],"mmmm")</f>
        <v>Julio</v>
      </c>
      <c r="K752" s="43">
        <f>WEEKNUM(tbl_dashboard[[#This Row],[Fecha]],2)</f>
        <v>31</v>
      </c>
    </row>
    <row r="753" spans="2:11" x14ac:dyDescent="0.2">
      <c r="B753" s="75">
        <v>43672</v>
      </c>
      <c r="C753" s="43" t="s">
        <v>185</v>
      </c>
      <c r="D753" s="43" t="s">
        <v>165</v>
      </c>
      <c r="E753" s="43" t="s">
        <v>162</v>
      </c>
      <c r="F753" s="43" t="s">
        <v>163</v>
      </c>
      <c r="G753" s="43">
        <v>11805</v>
      </c>
      <c r="H753" s="43">
        <v>3187.35</v>
      </c>
      <c r="I753" s="43">
        <f>YEAR(tbl_dashboard[[#This Row],[Fecha]])</f>
        <v>2019</v>
      </c>
      <c r="J753" s="43" t="str">
        <f>TEXT(tbl_dashboard[[#This Row],[Fecha]],"mmmm")</f>
        <v>Julio</v>
      </c>
      <c r="K753" s="43">
        <f>WEEKNUM(tbl_dashboard[[#This Row],[Fecha]],2)</f>
        <v>30</v>
      </c>
    </row>
    <row r="754" spans="2:11" x14ac:dyDescent="0.2">
      <c r="B754" s="75">
        <v>43671</v>
      </c>
      <c r="C754" s="43" t="s">
        <v>186</v>
      </c>
      <c r="D754" s="43" t="s">
        <v>165</v>
      </c>
      <c r="E754" s="43" t="s">
        <v>162</v>
      </c>
      <c r="F754" s="43" t="s">
        <v>169</v>
      </c>
      <c r="G754" s="43">
        <v>2674</v>
      </c>
      <c r="H754" s="43">
        <v>668.5</v>
      </c>
      <c r="I754" s="43">
        <f>YEAR(tbl_dashboard[[#This Row],[Fecha]])</f>
        <v>2019</v>
      </c>
      <c r="J754" s="43" t="str">
        <f>TEXT(tbl_dashboard[[#This Row],[Fecha]],"mmmm")</f>
        <v>Julio</v>
      </c>
      <c r="K754" s="43">
        <f>WEEKNUM(tbl_dashboard[[#This Row],[Fecha]],2)</f>
        <v>30</v>
      </c>
    </row>
    <row r="755" spans="2:11" x14ac:dyDescent="0.2">
      <c r="B755" s="75">
        <v>43671</v>
      </c>
      <c r="C755" s="43" t="s">
        <v>187</v>
      </c>
      <c r="D755" s="43" t="s">
        <v>165</v>
      </c>
      <c r="E755" s="43" t="s">
        <v>162</v>
      </c>
      <c r="F755" s="43" t="s">
        <v>169</v>
      </c>
      <c r="G755" s="43">
        <v>2265</v>
      </c>
      <c r="H755" s="43">
        <v>453</v>
      </c>
      <c r="I755" s="43">
        <f>YEAR(tbl_dashboard[[#This Row],[Fecha]])</f>
        <v>2019</v>
      </c>
      <c r="J755" s="43" t="str">
        <f>TEXT(tbl_dashboard[[#This Row],[Fecha]],"mmmm")</f>
        <v>Julio</v>
      </c>
      <c r="K755" s="43">
        <f>WEEKNUM(tbl_dashboard[[#This Row],[Fecha]],2)</f>
        <v>30</v>
      </c>
    </row>
    <row r="756" spans="2:11" x14ac:dyDescent="0.2">
      <c r="B756" s="75">
        <v>43671</v>
      </c>
      <c r="C756" s="43" t="s">
        <v>188</v>
      </c>
      <c r="D756" s="43" t="s">
        <v>161</v>
      </c>
      <c r="E756" s="43" t="s">
        <v>166</v>
      </c>
      <c r="F756" s="43" t="s">
        <v>169</v>
      </c>
      <c r="G756" s="43">
        <v>2738</v>
      </c>
      <c r="H756" s="43">
        <v>465.46</v>
      </c>
      <c r="I756" s="43">
        <f>YEAR(tbl_dashboard[[#This Row],[Fecha]])</f>
        <v>2019</v>
      </c>
      <c r="J756" s="43" t="str">
        <f>TEXT(tbl_dashboard[[#This Row],[Fecha]],"mmmm")</f>
        <v>Julio</v>
      </c>
      <c r="K756" s="43">
        <f>WEEKNUM(tbl_dashboard[[#This Row],[Fecha]],2)</f>
        <v>30</v>
      </c>
    </row>
    <row r="757" spans="2:11" x14ac:dyDescent="0.2">
      <c r="B757" s="75">
        <v>43671</v>
      </c>
      <c r="C757" s="43" t="s">
        <v>189</v>
      </c>
      <c r="D757" s="43" t="s">
        <v>165</v>
      </c>
      <c r="E757" s="43" t="s">
        <v>166</v>
      </c>
      <c r="F757" s="43" t="s">
        <v>169</v>
      </c>
      <c r="G757" s="43">
        <v>9784</v>
      </c>
      <c r="H757" s="43">
        <v>2348.16</v>
      </c>
      <c r="I757" s="43">
        <f>YEAR(tbl_dashboard[[#This Row],[Fecha]])</f>
        <v>2019</v>
      </c>
      <c r="J757" s="43" t="str">
        <f>TEXT(tbl_dashboard[[#This Row],[Fecha]],"mmmm")</f>
        <v>Julio</v>
      </c>
      <c r="K757" s="43">
        <f>WEEKNUM(tbl_dashboard[[#This Row],[Fecha]],2)</f>
        <v>30</v>
      </c>
    </row>
    <row r="758" spans="2:11" x14ac:dyDescent="0.2">
      <c r="B758" s="75">
        <v>43670</v>
      </c>
      <c r="C758" s="43" t="s">
        <v>190</v>
      </c>
      <c r="D758" s="43" t="s">
        <v>168</v>
      </c>
      <c r="E758" s="43" t="s">
        <v>162</v>
      </c>
      <c r="F758" s="43" t="s">
        <v>169</v>
      </c>
      <c r="G758" s="43">
        <v>2747</v>
      </c>
      <c r="H758" s="43">
        <v>741.69</v>
      </c>
      <c r="I758" s="43">
        <f>YEAR(tbl_dashboard[[#This Row],[Fecha]])</f>
        <v>2019</v>
      </c>
      <c r="J758" s="43" t="str">
        <f>TEXT(tbl_dashboard[[#This Row],[Fecha]],"mmmm")</f>
        <v>Julio</v>
      </c>
      <c r="K758" s="43">
        <f>WEEKNUM(tbl_dashboard[[#This Row],[Fecha]],2)</f>
        <v>30</v>
      </c>
    </row>
    <row r="759" spans="2:11" x14ac:dyDescent="0.2">
      <c r="B759" s="75">
        <v>43670</v>
      </c>
      <c r="C759" s="43" t="s">
        <v>191</v>
      </c>
      <c r="D759" s="43" t="s">
        <v>161</v>
      </c>
      <c r="E759" s="43" t="s">
        <v>166</v>
      </c>
      <c r="F759" s="43" t="s">
        <v>163</v>
      </c>
      <c r="G759" s="43">
        <v>8103</v>
      </c>
      <c r="H759" s="43">
        <v>3646.35</v>
      </c>
      <c r="I759" s="43">
        <f>YEAR(tbl_dashboard[[#This Row],[Fecha]])</f>
        <v>2019</v>
      </c>
      <c r="J759" s="43" t="str">
        <f>TEXT(tbl_dashboard[[#This Row],[Fecha]],"mmmm")</f>
        <v>Julio</v>
      </c>
      <c r="K759" s="43">
        <f>WEEKNUM(tbl_dashboard[[#This Row],[Fecha]],2)</f>
        <v>30</v>
      </c>
    </row>
    <row r="760" spans="2:11" x14ac:dyDescent="0.2">
      <c r="B760" s="75">
        <v>43670</v>
      </c>
      <c r="C760" s="43" t="s">
        <v>192</v>
      </c>
      <c r="D760" s="43" t="s">
        <v>165</v>
      </c>
      <c r="E760" s="43" t="s">
        <v>166</v>
      </c>
      <c r="F760" s="43" t="s">
        <v>163</v>
      </c>
      <c r="G760" s="43">
        <v>11279</v>
      </c>
      <c r="H760" s="43">
        <v>2255.8000000000002</v>
      </c>
      <c r="I760" s="43">
        <f>YEAR(tbl_dashboard[[#This Row],[Fecha]])</f>
        <v>2019</v>
      </c>
      <c r="J760" s="43" t="str">
        <f>TEXT(tbl_dashboard[[#This Row],[Fecha]],"mmmm")</f>
        <v>Julio</v>
      </c>
      <c r="K760" s="43">
        <f>WEEKNUM(tbl_dashboard[[#This Row],[Fecha]],2)</f>
        <v>30</v>
      </c>
    </row>
    <row r="761" spans="2:11" x14ac:dyDescent="0.2">
      <c r="B761" s="75">
        <v>43708</v>
      </c>
      <c r="C761" s="43" t="s">
        <v>160</v>
      </c>
      <c r="D761" s="43" t="s">
        <v>165</v>
      </c>
      <c r="E761" s="43" t="s">
        <v>166</v>
      </c>
      <c r="F761" s="43" t="s">
        <v>169</v>
      </c>
      <c r="G761" s="43">
        <v>7796</v>
      </c>
      <c r="H761" s="43">
        <v>1715.12</v>
      </c>
      <c r="I761" s="43">
        <f>YEAR(tbl_dashboard[[#This Row],[Fecha]])</f>
        <v>2019</v>
      </c>
      <c r="J761" s="43" t="str">
        <f>TEXT(tbl_dashboard[[#This Row],[Fecha]],"mmmm")</f>
        <v>Agosto</v>
      </c>
      <c r="K761" s="43">
        <f>WEEKNUM(tbl_dashboard[[#This Row],[Fecha]],2)</f>
        <v>35</v>
      </c>
    </row>
    <row r="762" spans="2:11" x14ac:dyDescent="0.2">
      <c r="B762" s="75">
        <v>43708</v>
      </c>
      <c r="C762" s="43" t="s">
        <v>164</v>
      </c>
      <c r="D762" s="43" t="s">
        <v>161</v>
      </c>
      <c r="E762" s="43" t="s">
        <v>162</v>
      </c>
      <c r="F762" s="43" t="s">
        <v>169</v>
      </c>
      <c r="G762" s="43">
        <v>5191</v>
      </c>
      <c r="H762" s="43">
        <v>1401.57</v>
      </c>
      <c r="I762" s="43">
        <f>YEAR(tbl_dashboard[[#This Row],[Fecha]])</f>
        <v>2019</v>
      </c>
      <c r="J762" s="43" t="str">
        <f>TEXT(tbl_dashboard[[#This Row],[Fecha]],"mmmm")</f>
        <v>Agosto</v>
      </c>
      <c r="K762" s="43">
        <f>WEEKNUM(tbl_dashboard[[#This Row],[Fecha]],2)</f>
        <v>35</v>
      </c>
    </row>
    <row r="763" spans="2:11" x14ac:dyDescent="0.2">
      <c r="B763" s="75">
        <v>43708</v>
      </c>
      <c r="C763" s="43" t="s">
        <v>167</v>
      </c>
      <c r="D763" s="43" t="s">
        <v>165</v>
      </c>
      <c r="E763" s="43" t="s">
        <v>162</v>
      </c>
      <c r="F763" s="43" t="s">
        <v>163</v>
      </c>
      <c r="G763" s="43">
        <v>10202</v>
      </c>
      <c r="H763" s="43">
        <v>4386.8599999999997</v>
      </c>
      <c r="I763" s="43">
        <f>YEAR(tbl_dashboard[[#This Row],[Fecha]])</f>
        <v>2019</v>
      </c>
      <c r="J763" s="43" t="str">
        <f>TEXT(tbl_dashboard[[#This Row],[Fecha]],"mmmm")</f>
        <v>Agosto</v>
      </c>
      <c r="K763" s="43">
        <f>WEEKNUM(tbl_dashboard[[#This Row],[Fecha]],2)</f>
        <v>35</v>
      </c>
    </row>
    <row r="764" spans="2:11" x14ac:dyDescent="0.2">
      <c r="B764" s="75">
        <v>43708</v>
      </c>
      <c r="C764" s="43" t="s">
        <v>170</v>
      </c>
      <c r="D764" s="43" t="s">
        <v>168</v>
      </c>
      <c r="E764" s="43" t="s">
        <v>162</v>
      </c>
      <c r="F764" s="43" t="s">
        <v>163</v>
      </c>
      <c r="G764" s="43">
        <v>2542</v>
      </c>
      <c r="H764" s="43">
        <v>1118.48</v>
      </c>
      <c r="I764" s="43">
        <f>YEAR(tbl_dashboard[[#This Row],[Fecha]])</f>
        <v>2019</v>
      </c>
      <c r="J764" s="43" t="str">
        <f>TEXT(tbl_dashboard[[#This Row],[Fecha]],"mmmm")</f>
        <v>Agosto</v>
      </c>
      <c r="K764" s="43">
        <f>WEEKNUM(tbl_dashboard[[#This Row],[Fecha]],2)</f>
        <v>35</v>
      </c>
    </row>
    <row r="765" spans="2:11" x14ac:dyDescent="0.2">
      <c r="B765" s="75">
        <v>43707</v>
      </c>
      <c r="C765" s="43" t="s">
        <v>171</v>
      </c>
      <c r="D765" s="43" t="s">
        <v>161</v>
      </c>
      <c r="E765" s="43" t="s">
        <v>162</v>
      </c>
      <c r="F765" s="43" t="s">
        <v>169</v>
      </c>
      <c r="G765" s="43">
        <v>7371</v>
      </c>
      <c r="H765" s="43">
        <v>2653.56</v>
      </c>
      <c r="I765" s="43">
        <f>YEAR(tbl_dashboard[[#This Row],[Fecha]])</f>
        <v>2019</v>
      </c>
      <c r="J765" s="43" t="str">
        <f>TEXT(tbl_dashboard[[#This Row],[Fecha]],"mmmm")</f>
        <v>Agosto</v>
      </c>
      <c r="K765" s="43">
        <f>WEEKNUM(tbl_dashboard[[#This Row],[Fecha]],2)</f>
        <v>35</v>
      </c>
    </row>
    <row r="766" spans="2:11" x14ac:dyDescent="0.2">
      <c r="B766" s="75">
        <v>43703</v>
      </c>
      <c r="C766" s="43" t="s">
        <v>172</v>
      </c>
      <c r="D766" s="43" t="s">
        <v>165</v>
      </c>
      <c r="E766" s="43" t="s">
        <v>162</v>
      </c>
      <c r="F766" s="43" t="s">
        <v>163</v>
      </c>
      <c r="G766" s="43">
        <v>5407</v>
      </c>
      <c r="H766" s="43">
        <v>919.19</v>
      </c>
      <c r="I766" s="43">
        <f>YEAR(tbl_dashboard[[#This Row],[Fecha]])</f>
        <v>2019</v>
      </c>
      <c r="J766" s="43" t="str">
        <f>TEXT(tbl_dashboard[[#This Row],[Fecha]],"mmmm")</f>
        <v>Agosto</v>
      </c>
      <c r="K766" s="43">
        <f>WEEKNUM(tbl_dashboard[[#This Row],[Fecha]],2)</f>
        <v>35</v>
      </c>
    </row>
    <row r="767" spans="2:11" x14ac:dyDescent="0.2">
      <c r="B767" s="75">
        <v>43702</v>
      </c>
      <c r="C767" s="43" t="s">
        <v>173</v>
      </c>
      <c r="D767" s="43" t="s">
        <v>168</v>
      </c>
      <c r="E767" s="43" t="s">
        <v>166</v>
      </c>
      <c r="F767" s="43" t="s">
        <v>169</v>
      </c>
      <c r="G767" s="43">
        <v>1917</v>
      </c>
      <c r="H767" s="43">
        <v>843.48</v>
      </c>
      <c r="I767" s="43">
        <f>YEAR(tbl_dashboard[[#This Row],[Fecha]])</f>
        <v>2019</v>
      </c>
      <c r="J767" s="43" t="str">
        <f>TEXT(tbl_dashboard[[#This Row],[Fecha]],"mmmm")</f>
        <v>Agosto</v>
      </c>
      <c r="K767" s="43">
        <f>WEEKNUM(tbl_dashboard[[#This Row],[Fecha]],2)</f>
        <v>34</v>
      </c>
    </row>
    <row r="768" spans="2:11" x14ac:dyDescent="0.2">
      <c r="B768" s="75">
        <v>43702</v>
      </c>
      <c r="C768" s="43" t="s">
        <v>174</v>
      </c>
      <c r="D768" s="43" t="s">
        <v>168</v>
      </c>
      <c r="E768" s="43" t="s">
        <v>166</v>
      </c>
      <c r="F768" s="43" t="s">
        <v>169</v>
      </c>
      <c r="G768" s="43">
        <v>11893</v>
      </c>
      <c r="H768" s="43">
        <v>4281.4799999999996</v>
      </c>
      <c r="I768" s="43">
        <f>YEAR(tbl_dashboard[[#This Row],[Fecha]])</f>
        <v>2019</v>
      </c>
      <c r="J768" s="43" t="str">
        <f>TEXT(tbl_dashboard[[#This Row],[Fecha]],"mmmm")</f>
        <v>Agosto</v>
      </c>
      <c r="K768" s="43">
        <f>WEEKNUM(tbl_dashboard[[#This Row],[Fecha]],2)</f>
        <v>34</v>
      </c>
    </row>
    <row r="769" spans="2:11" x14ac:dyDescent="0.2">
      <c r="B769" s="75">
        <v>43702</v>
      </c>
      <c r="C769" s="43" t="s">
        <v>175</v>
      </c>
      <c r="D769" s="43" t="s">
        <v>165</v>
      </c>
      <c r="E769" s="43" t="s">
        <v>162</v>
      </c>
      <c r="F769" s="43" t="s">
        <v>169</v>
      </c>
      <c r="G769" s="43">
        <v>3720</v>
      </c>
      <c r="H769" s="43">
        <v>1302</v>
      </c>
      <c r="I769" s="43">
        <f>YEAR(tbl_dashboard[[#This Row],[Fecha]])</f>
        <v>2019</v>
      </c>
      <c r="J769" s="43" t="str">
        <f>TEXT(tbl_dashboard[[#This Row],[Fecha]],"mmmm")</f>
        <v>Agosto</v>
      </c>
      <c r="K769" s="43">
        <f>WEEKNUM(tbl_dashboard[[#This Row],[Fecha]],2)</f>
        <v>34</v>
      </c>
    </row>
    <row r="770" spans="2:11" x14ac:dyDescent="0.2">
      <c r="B770" s="75">
        <v>43702</v>
      </c>
      <c r="C770" s="43" t="s">
        <v>176</v>
      </c>
      <c r="D770" s="43" t="s">
        <v>165</v>
      </c>
      <c r="E770" s="43" t="s">
        <v>162</v>
      </c>
      <c r="F770" s="43" t="s">
        <v>169</v>
      </c>
      <c r="G770" s="43">
        <v>8990</v>
      </c>
      <c r="H770" s="43">
        <v>4045.5</v>
      </c>
      <c r="I770" s="43">
        <f>YEAR(tbl_dashboard[[#This Row],[Fecha]])</f>
        <v>2019</v>
      </c>
      <c r="J770" s="43" t="str">
        <f>TEXT(tbl_dashboard[[#This Row],[Fecha]],"mmmm")</f>
        <v>Agosto</v>
      </c>
      <c r="K770" s="43">
        <f>WEEKNUM(tbl_dashboard[[#This Row],[Fecha]],2)</f>
        <v>34</v>
      </c>
    </row>
    <row r="771" spans="2:11" x14ac:dyDescent="0.2">
      <c r="B771" s="75">
        <v>43701</v>
      </c>
      <c r="C771" s="43" t="s">
        <v>177</v>
      </c>
      <c r="D771" s="43" t="s">
        <v>165</v>
      </c>
      <c r="E771" s="43" t="s">
        <v>166</v>
      </c>
      <c r="F771" s="43" t="s">
        <v>169</v>
      </c>
      <c r="G771" s="43">
        <v>4966</v>
      </c>
      <c r="H771" s="43">
        <v>943.54</v>
      </c>
      <c r="I771" s="43">
        <f>YEAR(tbl_dashboard[[#This Row],[Fecha]])</f>
        <v>2019</v>
      </c>
      <c r="J771" s="43" t="str">
        <f>TEXT(tbl_dashboard[[#This Row],[Fecha]],"mmmm")</f>
        <v>Agosto</v>
      </c>
      <c r="K771" s="43">
        <f>WEEKNUM(tbl_dashboard[[#This Row],[Fecha]],2)</f>
        <v>34</v>
      </c>
    </row>
    <row r="772" spans="2:11" x14ac:dyDescent="0.2">
      <c r="B772" s="75">
        <v>43707</v>
      </c>
      <c r="C772" s="43" t="s">
        <v>178</v>
      </c>
      <c r="D772" s="43" t="s">
        <v>161</v>
      </c>
      <c r="E772" s="43" t="s">
        <v>166</v>
      </c>
      <c r="F772" s="43" t="s">
        <v>163</v>
      </c>
      <c r="G772" s="43">
        <v>3716</v>
      </c>
      <c r="H772" s="43">
        <v>1560.72</v>
      </c>
      <c r="I772" s="43">
        <f>YEAR(tbl_dashboard[[#This Row],[Fecha]])</f>
        <v>2019</v>
      </c>
      <c r="J772" s="43" t="str">
        <f>TEXT(tbl_dashboard[[#This Row],[Fecha]],"mmmm")</f>
        <v>Agosto</v>
      </c>
      <c r="K772" s="43">
        <f>WEEKNUM(tbl_dashboard[[#This Row],[Fecha]],2)</f>
        <v>35</v>
      </c>
    </row>
    <row r="773" spans="2:11" x14ac:dyDescent="0.2">
      <c r="B773" s="75">
        <v>43707</v>
      </c>
      <c r="C773" s="43" t="s">
        <v>179</v>
      </c>
      <c r="D773" s="43" t="s">
        <v>161</v>
      </c>
      <c r="E773" s="43" t="s">
        <v>162</v>
      </c>
      <c r="F773" s="43" t="s">
        <v>163</v>
      </c>
      <c r="G773" s="43">
        <v>5439</v>
      </c>
      <c r="H773" s="43">
        <v>1359.75</v>
      </c>
      <c r="I773" s="43">
        <f>YEAR(tbl_dashboard[[#This Row],[Fecha]])</f>
        <v>2019</v>
      </c>
      <c r="J773" s="43" t="str">
        <f>TEXT(tbl_dashboard[[#This Row],[Fecha]],"mmmm")</f>
        <v>Agosto</v>
      </c>
      <c r="K773" s="43">
        <f>WEEKNUM(tbl_dashboard[[#This Row],[Fecha]],2)</f>
        <v>35</v>
      </c>
    </row>
    <row r="774" spans="2:11" x14ac:dyDescent="0.2">
      <c r="B774" s="75">
        <v>43707</v>
      </c>
      <c r="C774" s="43" t="s">
        <v>180</v>
      </c>
      <c r="D774" s="43" t="s">
        <v>165</v>
      </c>
      <c r="E774" s="43" t="s">
        <v>162</v>
      </c>
      <c r="F774" s="43" t="s">
        <v>169</v>
      </c>
      <c r="G774" s="43">
        <v>11346</v>
      </c>
      <c r="H774" s="43">
        <v>5105.7</v>
      </c>
      <c r="I774" s="43">
        <f>YEAR(tbl_dashboard[[#This Row],[Fecha]])</f>
        <v>2019</v>
      </c>
      <c r="J774" s="43" t="str">
        <f>TEXT(tbl_dashboard[[#This Row],[Fecha]],"mmmm")</f>
        <v>Agosto</v>
      </c>
      <c r="K774" s="43">
        <f>WEEKNUM(tbl_dashboard[[#This Row],[Fecha]],2)</f>
        <v>35</v>
      </c>
    </row>
    <row r="775" spans="2:11" x14ac:dyDescent="0.2">
      <c r="B775" s="75">
        <v>43738</v>
      </c>
      <c r="C775" s="43" t="s">
        <v>160</v>
      </c>
      <c r="D775" s="43" t="s">
        <v>168</v>
      </c>
      <c r="E775" s="43" t="s">
        <v>166</v>
      </c>
      <c r="F775" s="43" t="s">
        <v>169</v>
      </c>
      <c r="G775" s="43">
        <v>3570</v>
      </c>
      <c r="H775" s="43">
        <v>714</v>
      </c>
      <c r="I775" s="43">
        <f>YEAR(tbl_dashboard[[#This Row],[Fecha]])</f>
        <v>2019</v>
      </c>
      <c r="J775" s="43" t="str">
        <f>TEXT(tbl_dashboard[[#This Row],[Fecha]],"mmmm")</f>
        <v>Setiembre</v>
      </c>
      <c r="K775" s="43">
        <f>WEEKNUM(tbl_dashboard[[#This Row],[Fecha]],2)</f>
        <v>40</v>
      </c>
    </row>
    <row r="776" spans="2:11" x14ac:dyDescent="0.2">
      <c r="B776" s="75">
        <v>43738</v>
      </c>
      <c r="C776" s="43" t="s">
        <v>164</v>
      </c>
      <c r="D776" s="43" t="s">
        <v>168</v>
      </c>
      <c r="E776" s="43" t="s">
        <v>162</v>
      </c>
      <c r="F776" s="43" t="s">
        <v>163</v>
      </c>
      <c r="G776" s="43">
        <v>10060</v>
      </c>
      <c r="H776" s="43">
        <v>3219.2</v>
      </c>
      <c r="I776" s="43">
        <f>YEAR(tbl_dashboard[[#This Row],[Fecha]])</f>
        <v>2019</v>
      </c>
      <c r="J776" s="43" t="str">
        <f>TEXT(tbl_dashboard[[#This Row],[Fecha]],"mmmm")</f>
        <v>Setiembre</v>
      </c>
      <c r="K776" s="43">
        <f>WEEKNUM(tbl_dashboard[[#This Row],[Fecha]],2)</f>
        <v>40</v>
      </c>
    </row>
    <row r="777" spans="2:11" x14ac:dyDescent="0.2">
      <c r="B777" s="75">
        <v>43738</v>
      </c>
      <c r="C777" s="43" t="s">
        <v>167</v>
      </c>
      <c r="D777" s="43" t="s">
        <v>165</v>
      </c>
      <c r="E777" s="43" t="s">
        <v>162</v>
      </c>
      <c r="F777" s="43" t="s">
        <v>163</v>
      </c>
      <c r="G777" s="43">
        <v>5451</v>
      </c>
      <c r="H777" s="43">
        <v>1689.81</v>
      </c>
      <c r="I777" s="43">
        <f>YEAR(tbl_dashboard[[#This Row],[Fecha]])</f>
        <v>2019</v>
      </c>
      <c r="J777" s="43" t="str">
        <f>TEXT(tbl_dashboard[[#This Row],[Fecha]],"mmmm")</f>
        <v>Setiembre</v>
      </c>
      <c r="K777" s="43">
        <f>WEEKNUM(tbl_dashboard[[#This Row],[Fecha]],2)</f>
        <v>40</v>
      </c>
    </row>
    <row r="778" spans="2:11" x14ac:dyDescent="0.2">
      <c r="B778" s="75">
        <v>43738</v>
      </c>
      <c r="C778" s="43" t="s">
        <v>170</v>
      </c>
      <c r="D778" s="43" t="s">
        <v>165</v>
      </c>
      <c r="E778" s="43" t="s">
        <v>162</v>
      </c>
      <c r="F778" s="43" t="s">
        <v>169</v>
      </c>
      <c r="G778" s="43">
        <v>7978</v>
      </c>
      <c r="H778" s="43">
        <v>3430.54</v>
      </c>
      <c r="I778" s="43">
        <f>YEAR(tbl_dashboard[[#This Row],[Fecha]])</f>
        <v>2019</v>
      </c>
      <c r="J778" s="43" t="str">
        <f>TEXT(tbl_dashboard[[#This Row],[Fecha]],"mmmm")</f>
        <v>Setiembre</v>
      </c>
      <c r="K778" s="43">
        <f>WEEKNUM(tbl_dashboard[[#This Row],[Fecha]],2)</f>
        <v>40</v>
      </c>
    </row>
    <row r="779" spans="2:11" x14ac:dyDescent="0.2">
      <c r="B779" s="75">
        <v>43734</v>
      </c>
      <c r="C779" s="43" t="s">
        <v>171</v>
      </c>
      <c r="D779" s="43" t="s">
        <v>165</v>
      </c>
      <c r="E779" s="43" t="s">
        <v>166</v>
      </c>
      <c r="F779" s="43" t="s">
        <v>163</v>
      </c>
      <c r="G779" s="43">
        <v>9168</v>
      </c>
      <c r="H779" s="43">
        <v>3667.2</v>
      </c>
      <c r="I779" s="43">
        <f>YEAR(tbl_dashboard[[#This Row],[Fecha]])</f>
        <v>2019</v>
      </c>
      <c r="J779" s="43" t="str">
        <f>TEXT(tbl_dashboard[[#This Row],[Fecha]],"mmmm")</f>
        <v>Setiembre</v>
      </c>
      <c r="K779" s="43">
        <f>WEEKNUM(tbl_dashboard[[#This Row],[Fecha]],2)</f>
        <v>39</v>
      </c>
    </row>
    <row r="780" spans="2:11" x14ac:dyDescent="0.2">
      <c r="B780" s="75">
        <v>43733</v>
      </c>
      <c r="C780" s="43" t="s">
        <v>172</v>
      </c>
      <c r="D780" s="43" t="s">
        <v>161</v>
      </c>
      <c r="E780" s="43" t="s">
        <v>166</v>
      </c>
      <c r="F780" s="43" t="s">
        <v>169</v>
      </c>
      <c r="G780" s="43">
        <v>4316</v>
      </c>
      <c r="H780" s="43">
        <v>776.88</v>
      </c>
      <c r="I780" s="43">
        <f>YEAR(tbl_dashboard[[#This Row],[Fecha]])</f>
        <v>2019</v>
      </c>
      <c r="J780" s="43" t="str">
        <f>TEXT(tbl_dashboard[[#This Row],[Fecha]],"mmmm")</f>
        <v>Setiembre</v>
      </c>
      <c r="K780" s="43">
        <f>WEEKNUM(tbl_dashboard[[#This Row],[Fecha]],2)</f>
        <v>39</v>
      </c>
    </row>
    <row r="781" spans="2:11" x14ac:dyDescent="0.2">
      <c r="B781" s="75">
        <v>43733</v>
      </c>
      <c r="C781" s="43" t="s">
        <v>173</v>
      </c>
      <c r="D781" s="43" t="s">
        <v>165</v>
      </c>
      <c r="E781" s="43" t="s">
        <v>162</v>
      </c>
      <c r="F781" s="43" t="s">
        <v>169</v>
      </c>
      <c r="G781" s="43">
        <v>8909</v>
      </c>
      <c r="H781" s="43">
        <v>1336.35</v>
      </c>
      <c r="I781" s="43">
        <f>YEAR(tbl_dashboard[[#This Row],[Fecha]])</f>
        <v>2019</v>
      </c>
      <c r="J781" s="43" t="str">
        <f>TEXT(tbl_dashboard[[#This Row],[Fecha]],"mmmm")</f>
        <v>Setiembre</v>
      </c>
      <c r="K781" s="43">
        <f>WEEKNUM(tbl_dashboard[[#This Row],[Fecha]],2)</f>
        <v>39</v>
      </c>
    </row>
    <row r="782" spans="2:11" x14ac:dyDescent="0.2">
      <c r="B782" s="75">
        <v>43733</v>
      </c>
      <c r="C782" s="43" t="s">
        <v>174</v>
      </c>
      <c r="D782" s="43" t="s">
        <v>165</v>
      </c>
      <c r="E782" s="43" t="s">
        <v>166</v>
      </c>
      <c r="F782" s="43" t="s">
        <v>169</v>
      </c>
      <c r="G782" s="43">
        <v>2572</v>
      </c>
      <c r="H782" s="43">
        <v>565.84</v>
      </c>
      <c r="I782" s="43">
        <f>YEAR(tbl_dashboard[[#This Row],[Fecha]])</f>
        <v>2019</v>
      </c>
      <c r="J782" s="43" t="str">
        <f>TEXT(tbl_dashboard[[#This Row],[Fecha]],"mmmm")</f>
        <v>Setiembre</v>
      </c>
      <c r="K782" s="43">
        <f>WEEKNUM(tbl_dashboard[[#This Row],[Fecha]],2)</f>
        <v>39</v>
      </c>
    </row>
    <row r="783" spans="2:11" x14ac:dyDescent="0.2">
      <c r="B783" s="75">
        <v>43733</v>
      </c>
      <c r="C783" s="43" t="s">
        <v>175</v>
      </c>
      <c r="D783" s="43" t="s">
        <v>168</v>
      </c>
      <c r="E783" s="43" t="s">
        <v>166</v>
      </c>
      <c r="F783" s="43" t="s">
        <v>169</v>
      </c>
      <c r="G783" s="43">
        <v>3685</v>
      </c>
      <c r="H783" s="43">
        <v>1179.2</v>
      </c>
      <c r="I783" s="43">
        <f>YEAR(tbl_dashboard[[#This Row],[Fecha]])</f>
        <v>2019</v>
      </c>
      <c r="J783" s="43" t="str">
        <f>TEXT(tbl_dashboard[[#This Row],[Fecha]],"mmmm")</f>
        <v>Setiembre</v>
      </c>
      <c r="K783" s="43">
        <f>WEEKNUM(tbl_dashboard[[#This Row],[Fecha]],2)</f>
        <v>39</v>
      </c>
    </row>
    <row r="784" spans="2:11" x14ac:dyDescent="0.2">
      <c r="B784" s="75">
        <v>43732</v>
      </c>
      <c r="C784" s="43" t="s">
        <v>176</v>
      </c>
      <c r="D784" s="43" t="s">
        <v>165</v>
      </c>
      <c r="E784" s="43" t="s">
        <v>162</v>
      </c>
      <c r="F784" s="43" t="s">
        <v>169</v>
      </c>
      <c r="G784" s="43">
        <v>10716</v>
      </c>
      <c r="H784" s="43">
        <v>2571.84</v>
      </c>
      <c r="I784" s="43">
        <f>YEAR(tbl_dashboard[[#This Row],[Fecha]])</f>
        <v>2019</v>
      </c>
      <c r="J784" s="43" t="str">
        <f>TEXT(tbl_dashboard[[#This Row],[Fecha]],"mmmm")</f>
        <v>Setiembre</v>
      </c>
      <c r="K784" s="43">
        <f>WEEKNUM(tbl_dashboard[[#This Row],[Fecha]],2)</f>
        <v>39</v>
      </c>
    </row>
    <row r="785" spans="2:11" x14ac:dyDescent="0.2">
      <c r="B785" s="75">
        <v>43732</v>
      </c>
      <c r="C785" s="43" t="s">
        <v>177</v>
      </c>
      <c r="D785" s="43" t="s">
        <v>161</v>
      </c>
      <c r="E785" s="43" t="s">
        <v>162</v>
      </c>
      <c r="F785" s="43" t="s">
        <v>163</v>
      </c>
      <c r="G785" s="43">
        <v>5697</v>
      </c>
      <c r="H785" s="43">
        <v>1196.3699999999999</v>
      </c>
      <c r="I785" s="43">
        <f>YEAR(tbl_dashboard[[#This Row],[Fecha]])</f>
        <v>2019</v>
      </c>
      <c r="J785" s="43" t="str">
        <f>TEXT(tbl_dashboard[[#This Row],[Fecha]],"mmmm")</f>
        <v>Setiembre</v>
      </c>
      <c r="K785" s="43">
        <f>WEEKNUM(tbl_dashboard[[#This Row],[Fecha]],2)</f>
        <v>39</v>
      </c>
    </row>
    <row r="786" spans="2:11" x14ac:dyDescent="0.2">
      <c r="B786" s="75">
        <v>43732</v>
      </c>
      <c r="C786" s="43" t="s">
        <v>178</v>
      </c>
      <c r="D786" s="43" t="s">
        <v>161</v>
      </c>
      <c r="E786" s="43" t="s">
        <v>162</v>
      </c>
      <c r="F786" s="43" t="s">
        <v>163</v>
      </c>
      <c r="G786" s="43">
        <v>9072</v>
      </c>
      <c r="H786" s="43">
        <v>3810.24</v>
      </c>
      <c r="I786" s="43">
        <f>YEAR(tbl_dashboard[[#This Row],[Fecha]])</f>
        <v>2019</v>
      </c>
      <c r="J786" s="43" t="str">
        <f>TEXT(tbl_dashboard[[#This Row],[Fecha]],"mmmm")</f>
        <v>Setiembre</v>
      </c>
      <c r="K786" s="43">
        <f>WEEKNUM(tbl_dashboard[[#This Row],[Fecha]],2)</f>
        <v>39</v>
      </c>
    </row>
    <row r="787" spans="2:11" x14ac:dyDescent="0.2">
      <c r="B787" s="75">
        <v>43732</v>
      </c>
      <c r="C787" s="43" t="s">
        <v>179</v>
      </c>
      <c r="D787" s="43" t="s">
        <v>161</v>
      </c>
      <c r="E787" s="43" t="s">
        <v>162</v>
      </c>
      <c r="F787" s="43" t="s">
        <v>169</v>
      </c>
      <c r="G787" s="43">
        <v>8048</v>
      </c>
      <c r="H787" s="43">
        <v>3541.12</v>
      </c>
      <c r="I787" s="43">
        <f>YEAR(tbl_dashboard[[#This Row],[Fecha]])</f>
        <v>2019</v>
      </c>
      <c r="J787" s="43" t="str">
        <f>TEXT(tbl_dashboard[[#This Row],[Fecha]],"mmmm")</f>
        <v>Setiembre</v>
      </c>
      <c r="K787" s="43">
        <f>WEEKNUM(tbl_dashboard[[#This Row],[Fecha]],2)</f>
        <v>39</v>
      </c>
    </row>
    <row r="788" spans="2:11" x14ac:dyDescent="0.2">
      <c r="B788" s="75">
        <v>43732</v>
      </c>
      <c r="C788" s="43" t="s">
        <v>180</v>
      </c>
      <c r="D788" s="43" t="s">
        <v>168</v>
      </c>
      <c r="E788" s="43" t="s">
        <v>162</v>
      </c>
      <c r="F788" s="43" t="s">
        <v>169</v>
      </c>
      <c r="G788" s="43">
        <v>1798</v>
      </c>
      <c r="H788" s="43">
        <v>683.24</v>
      </c>
      <c r="I788" s="43">
        <f>YEAR(tbl_dashboard[[#This Row],[Fecha]])</f>
        <v>2019</v>
      </c>
      <c r="J788" s="43" t="str">
        <f>TEXT(tbl_dashboard[[#This Row],[Fecha]],"mmmm")</f>
        <v>Setiembre</v>
      </c>
      <c r="K788" s="43">
        <f>WEEKNUM(tbl_dashboard[[#This Row],[Fecha]],2)</f>
        <v>39</v>
      </c>
    </row>
    <row r="789" spans="2:11" x14ac:dyDescent="0.2">
      <c r="B789" s="75">
        <v>43732</v>
      </c>
      <c r="C789" s="43" t="s">
        <v>181</v>
      </c>
      <c r="D789" s="43" t="s">
        <v>161</v>
      </c>
      <c r="E789" s="43" t="s">
        <v>166</v>
      </c>
      <c r="F789" s="43" t="s">
        <v>163</v>
      </c>
      <c r="G789" s="43">
        <v>11640</v>
      </c>
      <c r="H789" s="43">
        <v>3375.6</v>
      </c>
      <c r="I789" s="43">
        <f>YEAR(tbl_dashboard[[#This Row],[Fecha]])</f>
        <v>2019</v>
      </c>
      <c r="J789" s="43" t="str">
        <f>TEXT(tbl_dashboard[[#This Row],[Fecha]],"mmmm")</f>
        <v>Setiembre</v>
      </c>
      <c r="K789" s="43">
        <f>WEEKNUM(tbl_dashboard[[#This Row],[Fecha]],2)</f>
        <v>39</v>
      </c>
    </row>
    <row r="790" spans="2:11" x14ac:dyDescent="0.2">
      <c r="B790" s="75">
        <v>43732</v>
      </c>
      <c r="C790" s="43" t="s">
        <v>182</v>
      </c>
      <c r="D790" s="43" t="s">
        <v>161</v>
      </c>
      <c r="E790" s="43" t="s">
        <v>162</v>
      </c>
      <c r="F790" s="43" t="s">
        <v>163</v>
      </c>
      <c r="G790" s="43">
        <v>2932</v>
      </c>
      <c r="H790" s="43">
        <v>1231.44</v>
      </c>
      <c r="I790" s="43">
        <f>YEAR(tbl_dashboard[[#This Row],[Fecha]])</f>
        <v>2019</v>
      </c>
      <c r="J790" s="43" t="str">
        <f>TEXT(tbl_dashboard[[#This Row],[Fecha]],"mmmm")</f>
        <v>Setiembre</v>
      </c>
      <c r="K790" s="43">
        <f>WEEKNUM(tbl_dashboard[[#This Row],[Fecha]],2)</f>
        <v>39</v>
      </c>
    </row>
    <row r="791" spans="2:11" x14ac:dyDescent="0.2">
      <c r="B791" s="75">
        <v>43738</v>
      </c>
      <c r="C791" s="43" t="s">
        <v>183</v>
      </c>
      <c r="D791" s="43" t="s">
        <v>168</v>
      </c>
      <c r="E791" s="43" t="s">
        <v>166</v>
      </c>
      <c r="F791" s="43" t="s">
        <v>169</v>
      </c>
      <c r="G791" s="43">
        <v>6654</v>
      </c>
      <c r="H791" s="43">
        <v>2861.22</v>
      </c>
      <c r="I791" s="43">
        <f>YEAR(tbl_dashboard[[#This Row],[Fecha]])</f>
        <v>2019</v>
      </c>
      <c r="J791" s="43" t="str">
        <f>TEXT(tbl_dashboard[[#This Row],[Fecha]],"mmmm")</f>
        <v>Setiembre</v>
      </c>
      <c r="K791" s="43">
        <f>WEEKNUM(tbl_dashboard[[#This Row],[Fecha]],2)</f>
        <v>40</v>
      </c>
    </row>
    <row r="792" spans="2:11" x14ac:dyDescent="0.2">
      <c r="B792" s="75">
        <v>43734</v>
      </c>
      <c r="C792" s="43" t="s">
        <v>184</v>
      </c>
      <c r="D792" s="43" t="s">
        <v>161</v>
      </c>
      <c r="E792" s="43" t="s">
        <v>162</v>
      </c>
      <c r="F792" s="43" t="s">
        <v>163</v>
      </c>
      <c r="G792" s="43">
        <v>8405</v>
      </c>
      <c r="H792" s="43">
        <v>2101.25</v>
      </c>
      <c r="I792" s="43">
        <f>YEAR(tbl_dashboard[[#This Row],[Fecha]])</f>
        <v>2019</v>
      </c>
      <c r="J792" s="43" t="str">
        <f>TEXT(tbl_dashboard[[#This Row],[Fecha]],"mmmm")</f>
        <v>Setiembre</v>
      </c>
      <c r="K792" s="43">
        <f>WEEKNUM(tbl_dashboard[[#This Row],[Fecha]],2)</f>
        <v>39</v>
      </c>
    </row>
    <row r="793" spans="2:11" x14ac:dyDescent="0.2">
      <c r="B793" s="75">
        <v>43733</v>
      </c>
      <c r="C793" s="43" t="s">
        <v>185</v>
      </c>
      <c r="D793" s="43" t="s">
        <v>168</v>
      </c>
      <c r="E793" s="43" t="s">
        <v>166</v>
      </c>
      <c r="F793" s="43" t="s">
        <v>169</v>
      </c>
      <c r="G793" s="43">
        <v>7351</v>
      </c>
      <c r="H793" s="43">
        <v>2058.2800000000002</v>
      </c>
      <c r="I793" s="43">
        <f>YEAR(tbl_dashboard[[#This Row],[Fecha]])</f>
        <v>2019</v>
      </c>
      <c r="J793" s="43" t="str">
        <f>TEXT(tbl_dashboard[[#This Row],[Fecha]],"mmmm")</f>
        <v>Setiembre</v>
      </c>
      <c r="K793" s="43">
        <f>WEEKNUM(tbl_dashboard[[#This Row],[Fecha]],2)</f>
        <v>39</v>
      </c>
    </row>
    <row r="794" spans="2:11" x14ac:dyDescent="0.2">
      <c r="B794" s="75">
        <v>43733</v>
      </c>
      <c r="C794" s="43" t="s">
        <v>186</v>
      </c>
      <c r="D794" s="43" t="s">
        <v>168</v>
      </c>
      <c r="E794" s="43" t="s">
        <v>162</v>
      </c>
      <c r="F794" s="43" t="s">
        <v>169</v>
      </c>
      <c r="G794" s="43">
        <v>10303</v>
      </c>
      <c r="H794" s="43">
        <v>1957.57</v>
      </c>
      <c r="I794" s="43">
        <f>YEAR(tbl_dashboard[[#This Row],[Fecha]])</f>
        <v>2019</v>
      </c>
      <c r="J794" s="43" t="str">
        <f>TEXT(tbl_dashboard[[#This Row],[Fecha]],"mmmm")</f>
        <v>Setiembre</v>
      </c>
      <c r="K794" s="43">
        <f>WEEKNUM(tbl_dashboard[[#This Row],[Fecha]],2)</f>
        <v>39</v>
      </c>
    </row>
    <row r="795" spans="2:11" x14ac:dyDescent="0.2">
      <c r="B795" s="75">
        <v>43733</v>
      </c>
      <c r="C795" s="43" t="s">
        <v>187</v>
      </c>
      <c r="D795" s="43" t="s">
        <v>168</v>
      </c>
      <c r="E795" s="43" t="s">
        <v>166</v>
      </c>
      <c r="F795" s="43" t="s">
        <v>169</v>
      </c>
      <c r="G795" s="43">
        <v>10433</v>
      </c>
      <c r="H795" s="43">
        <v>3129.9</v>
      </c>
      <c r="I795" s="43">
        <f>YEAR(tbl_dashboard[[#This Row],[Fecha]])</f>
        <v>2019</v>
      </c>
      <c r="J795" s="43" t="str">
        <f>TEXT(tbl_dashboard[[#This Row],[Fecha]],"mmmm")</f>
        <v>Setiembre</v>
      </c>
      <c r="K795" s="43">
        <f>WEEKNUM(tbl_dashboard[[#This Row],[Fecha]],2)</f>
        <v>39</v>
      </c>
    </row>
    <row r="796" spans="2:11" x14ac:dyDescent="0.2">
      <c r="B796" s="75">
        <v>43733</v>
      </c>
      <c r="C796" s="43" t="s">
        <v>188</v>
      </c>
      <c r="D796" s="43" t="s">
        <v>168</v>
      </c>
      <c r="E796" s="43" t="s">
        <v>166</v>
      </c>
      <c r="F796" s="43" t="s">
        <v>169</v>
      </c>
      <c r="G796" s="43">
        <v>5960</v>
      </c>
      <c r="H796" s="43">
        <v>894</v>
      </c>
      <c r="I796" s="43">
        <f>YEAR(tbl_dashboard[[#This Row],[Fecha]])</f>
        <v>2019</v>
      </c>
      <c r="J796" s="43" t="str">
        <f>TEXT(tbl_dashboard[[#This Row],[Fecha]],"mmmm")</f>
        <v>Setiembre</v>
      </c>
      <c r="K796" s="43">
        <f>WEEKNUM(tbl_dashboard[[#This Row],[Fecha]],2)</f>
        <v>39</v>
      </c>
    </row>
    <row r="797" spans="2:11" x14ac:dyDescent="0.2">
      <c r="B797" s="75">
        <v>43732</v>
      </c>
      <c r="C797" s="43" t="s">
        <v>189</v>
      </c>
      <c r="D797" s="43" t="s">
        <v>165</v>
      </c>
      <c r="E797" s="43" t="s">
        <v>162</v>
      </c>
      <c r="F797" s="43" t="s">
        <v>169</v>
      </c>
      <c r="G797" s="43">
        <v>11071</v>
      </c>
      <c r="H797" s="43">
        <v>3542.72</v>
      </c>
      <c r="I797" s="43">
        <f>YEAR(tbl_dashboard[[#This Row],[Fecha]])</f>
        <v>2019</v>
      </c>
      <c r="J797" s="43" t="str">
        <f>TEXT(tbl_dashboard[[#This Row],[Fecha]],"mmmm")</f>
        <v>Setiembre</v>
      </c>
      <c r="K797" s="43">
        <f>WEEKNUM(tbl_dashboard[[#This Row],[Fecha]],2)</f>
        <v>39</v>
      </c>
    </row>
    <row r="798" spans="2:11" x14ac:dyDescent="0.2">
      <c r="B798" s="75">
        <v>43738</v>
      </c>
      <c r="C798" s="43" t="s">
        <v>190</v>
      </c>
      <c r="D798" s="43" t="s">
        <v>168</v>
      </c>
      <c r="E798" s="43" t="s">
        <v>162</v>
      </c>
      <c r="F798" s="43" t="s">
        <v>163</v>
      </c>
      <c r="G798" s="43">
        <v>2236</v>
      </c>
      <c r="H798" s="43">
        <v>491.92</v>
      </c>
      <c r="I798" s="43">
        <f>YEAR(tbl_dashboard[[#This Row],[Fecha]])</f>
        <v>2019</v>
      </c>
      <c r="J798" s="43" t="str">
        <f>TEXT(tbl_dashboard[[#This Row],[Fecha]],"mmmm")</f>
        <v>Setiembre</v>
      </c>
      <c r="K798" s="43">
        <f>WEEKNUM(tbl_dashboard[[#This Row],[Fecha]],2)</f>
        <v>40</v>
      </c>
    </row>
    <row r="799" spans="2:11" x14ac:dyDescent="0.2">
      <c r="B799" s="75">
        <v>43738</v>
      </c>
      <c r="C799" s="43" t="s">
        <v>191</v>
      </c>
      <c r="D799" s="43" t="s">
        <v>161</v>
      </c>
      <c r="E799" s="43" t="s">
        <v>162</v>
      </c>
      <c r="F799" s="43" t="s">
        <v>163</v>
      </c>
      <c r="G799" s="43">
        <v>9338</v>
      </c>
      <c r="H799" s="43">
        <v>2894.78</v>
      </c>
      <c r="I799" s="43">
        <f>YEAR(tbl_dashboard[[#This Row],[Fecha]])</f>
        <v>2019</v>
      </c>
      <c r="J799" s="43" t="str">
        <f>TEXT(tbl_dashboard[[#This Row],[Fecha]],"mmmm")</f>
        <v>Setiembre</v>
      </c>
      <c r="K799" s="43">
        <f>WEEKNUM(tbl_dashboard[[#This Row],[Fecha]],2)</f>
        <v>40</v>
      </c>
    </row>
    <row r="800" spans="2:11" x14ac:dyDescent="0.2">
      <c r="B800" s="75">
        <v>43738</v>
      </c>
      <c r="C800" s="43" t="s">
        <v>192</v>
      </c>
      <c r="D800" s="43" t="s">
        <v>165</v>
      </c>
      <c r="E800" s="43" t="s">
        <v>166</v>
      </c>
      <c r="F800" s="43" t="s">
        <v>169</v>
      </c>
      <c r="G800" s="43">
        <v>8084</v>
      </c>
      <c r="H800" s="43">
        <v>3152.76</v>
      </c>
      <c r="I800" s="43">
        <f>YEAR(tbl_dashboard[[#This Row],[Fecha]])</f>
        <v>2019</v>
      </c>
      <c r="J800" s="43" t="str">
        <f>TEXT(tbl_dashboard[[#This Row],[Fecha]],"mmmm")</f>
        <v>Setiembre</v>
      </c>
      <c r="K800" s="43">
        <f>WEEKNUM(tbl_dashboard[[#This Row],[Fecha]],2)</f>
        <v>40</v>
      </c>
    </row>
    <row r="801" spans="2:11" x14ac:dyDescent="0.2">
      <c r="B801" s="75">
        <v>43738</v>
      </c>
      <c r="C801" s="43" t="s">
        <v>193</v>
      </c>
      <c r="D801" s="43" t="s">
        <v>168</v>
      </c>
      <c r="E801" s="43" t="s">
        <v>166</v>
      </c>
      <c r="F801" s="43" t="s">
        <v>169</v>
      </c>
      <c r="G801" s="43">
        <v>8669</v>
      </c>
      <c r="H801" s="43">
        <v>1300.3499999999999</v>
      </c>
      <c r="I801" s="43">
        <f>YEAR(tbl_dashboard[[#This Row],[Fecha]])</f>
        <v>2019</v>
      </c>
      <c r="J801" s="43" t="str">
        <f>TEXT(tbl_dashboard[[#This Row],[Fecha]],"mmmm")</f>
        <v>Setiembre</v>
      </c>
      <c r="K801" s="43">
        <f>WEEKNUM(tbl_dashboard[[#This Row],[Fecha]],2)</f>
        <v>40</v>
      </c>
    </row>
    <row r="802" spans="2:11" x14ac:dyDescent="0.2">
      <c r="B802" s="75">
        <v>43738</v>
      </c>
      <c r="C802" s="43" t="s">
        <v>194</v>
      </c>
      <c r="D802" s="43" t="s">
        <v>165</v>
      </c>
      <c r="E802" s="43" t="s">
        <v>162</v>
      </c>
      <c r="F802" s="43" t="s">
        <v>163</v>
      </c>
      <c r="G802" s="43">
        <v>8873</v>
      </c>
      <c r="H802" s="43">
        <v>3105.55</v>
      </c>
      <c r="I802" s="43">
        <f>YEAR(tbl_dashboard[[#This Row],[Fecha]])</f>
        <v>2019</v>
      </c>
      <c r="J802" s="43" t="str">
        <f>TEXT(tbl_dashboard[[#This Row],[Fecha]],"mmmm")</f>
        <v>Setiembre</v>
      </c>
      <c r="K802" s="43">
        <f>WEEKNUM(tbl_dashboard[[#This Row],[Fecha]],2)</f>
        <v>40</v>
      </c>
    </row>
    <row r="803" spans="2:11" x14ac:dyDescent="0.2">
      <c r="B803" s="75">
        <v>43738</v>
      </c>
      <c r="C803" s="43" t="s">
        <v>195</v>
      </c>
      <c r="D803" s="43" t="s">
        <v>165</v>
      </c>
      <c r="E803" s="43" t="s">
        <v>166</v>
      </c>
      <c r="F803" s="43" t="s">
        <v>163</v>
      </c>
      <c r="G803" s="43">
        <v>11732</v>
      </c>
      <c r="H803" s="43">
        <v>4106.2</v>
      </c>
      <c r="I803" s="43">
        <f>YEAR(tbl_dashboard[[#This Row],[Fecha]])</f>
        <v>2019</v>
      </c>
      <c r="J803" s="43" t="str">
        <f>TEXT(tbl_dashboard[[#This Row],[Fecha]],"mmmm")</f>
        <v>Setiembre</v>
      </c>
      <c r="K803" s="43">
        <f>WEEKNUM(tbl_dashboard[[#This Row],[Fecha]],2)</f>
        <v>40</v>
      </c>
    </row>
    <row r="804" spans="2:11" x14ac:dyDescent="0.2">
      <c r="B804" s="75">
        <v>43738</v>
      </c>
      <c r="C804" s="43" t="s">
        <v>196</v>
      </c>
      <c r="D804" s="43" t="s">
        <v>165</v>
      </c>
      <c r="E804" s="43" t="s">
        <v>162</v>
      </c>
      <c r="F804" s="43" t="s">
        <v>169</v>
      </c>
      <c r="G804" s="43">
        <v>3379</v>
      </c>
      <c r="H804" s="43">
        <v>1385.39</v>
      </c>
      <c r="I804" s="43">
        <f>YEAR(tbl_dashboard[[#This Row],[Fecha]])</f>
        <v>2019</v>
      </c>
      <c r="J804" s="43" t="str">
        <f>TEXT(tbl_dashboard[[#This Row],[Fecha]],"mmmm")</f>
        <v>Setiembre</v>
      </c>
      <c r="K804" s="43">
        <f>WEEKNUM(tbl_dashboard[[#This Row],[Fecha]],2)</f>
        <v>40</v>
      </c>
    </row>
    <row r="805" spans="2:11" x14ac:dyDescent="0.2">
      <c r="B805" s="75">
        <v>43764</v>
      </c>
      <c r="C805" s="43" t="s">
        <v>160</v>
      </c>
      <c r="D805" s="43" t="s">
        <v>161</v>
      </c>
      <c r="E805" s="43" t="s">
        <v>162</v>
      </c>
      <c r="F805" s="43" t="s">
        <v>163</v>
      </c>
      <c r="G805" s="43">
        <v>1885</v>
      </c>
      <c r="H805" s="43">
        <v>716.3</v>
      </c>
      <c r="I805" s="43">
        <f>YEAR(tbl_dashboard[[#This Row],[Fecha]])</f>
        <v>2019</v>
      </c>
      <c r="J805" s="43" t="str">
        <f>TEXT(tbl_dashboard[[#This Row],[Fecha]],"mmmm")</f>
        <v>Octubre</v>
      </c>
      <c r="K805" s="43">
        <f>WEEKNUM(tbl_dashboard[[#This Row],[Fecha]],2)</f>
        <v>43</v>
      </c>
    </row>
    <row r="806" spans="2:11" x14ac:dyDescent="0.2">
      <c r="B806" s="75">
        <v>43763</v>
      </c>
      <c r="C806" s="43" t="s">
        <v>164</v>
      </c>
      <c r="D806" s="43" t="s">
        <v>165</v>
      </c>
      <c r="E806" s="43" t="s">
        <v>166</v>
      </c>
      <c r="F806" s="43" t="s">
        <v>169</v>
      </c>
      <c r="G806" s="43">
        <v>7223</v>
      </c>
      <c r="H806" s="43">
        <v>3033.66</v>
      </c>
      <c r="I806" s="43">
        <f>YEAR(tbl_dashboard[[#This Row],[Fecha]])</f>
        <v>2019</v>
      </c>
      <c r="J806" s="43" t="str">
        <f>TEXT(tbl_dashboard[[#This Row],[Fecha]],"mmmm")</f>
        <v>Octubre</v>
      </c>
      <c r="K806" s="43">
        <f>WEEKNUM(tbl_dashboard[[#This Row],[Fecha]],2)</f>
        <v>43</v>
      </c>
    </row>
    <row r="807" spans="2:11" x14ac:dyDescent="0.2">
      <c r="B807" s="75">
        <v>43763</v>
      </c>
      <c r="C807" s="43" t="s">
        <v>167</v>
      </c>
      <c r="D807" s="43" t="s">
        <v>168</v>
      </c>
      <c r="E807" s="43" t="s">
        <v>162</v>
      </c>
      <c r="F807" s="43" t="s">
        <v>169</v>
      </c>
      <c r="G807" s="43">
        <v>11457</v>
      </c>
      <c r="H807" s="43">
        <v>5155.6499999999996</v>
      </c>
      <c r="I807" s="43">
        <f>YEAR(tbl_dashboard[[#This Row],[Fecha]])</f>
        <v>2019</v>
      </c>
      <c r="J807" s="43" t="str">
        <f>TEXT(tbl_dashboard[[#This Row],[Fecha]],"mmmm")</f>
        <v>Octubre</v>
      </c>
      <c r="K807" s="43">
        <f>WEEKNUM(tbl_dashboard[[#This Row],[Fecha]],2)</f>
        <v>43</v>
      </c>
    </row>
    <row r="808" spans="2:11" x14ac:dyDescent="0.2">
      <c r="B808" s="75">
        <v>43763</v>
      </c>
      <c r="C808" s="43" t="s">
        <v>170</v>
      </c>
      <c r="D808" s="43" t="s">
        <v>161</v>
      </c>
      <c r="E808" s="43" t="s">
        <v>166</v>
      </c>
      <c r="F808" s="43" t="s">
        <v>169</v>
      </c>
      <c r="G808" s="43">
        <v>2526</v>
      </c>
      <c r="H808" s="43">
        <v>959.88</v>
      </c>
      <c r="I808" s="43">
        <f>YEAR(tbl_dashboard[[#This Row],[Fecha]])</f>
        <v>2019</v>
      </c>
      <c r="J808" s="43" t="str">
        <f>TEXT(tbl_dashboard[[#This Row],[Fecha]],"mmmm")</f>
        <v>Octubre</v>
      </c>
      <c r="K808" s="43">
        <f>WEEKNUM(tbl_dashboard[[#This Row],[Fecha]],2)</f>
        <v>43</v>
      </c>
    </row>
    <row r="809" spans="2:11" x14ac:dyDescent="0.2">
      <c r="B809" s="75">
        <v>43763</v>
      </c>
      <c r="C809" s="43" t="s">
        <v>171</v>
      </c>
      <c r="D809" s="43" t="s">
        <v>165</v>
      </c>
      <c r="E809" s="43" t="s">
        <v>166</v>
      </c>
      <c r="F809" s="43" t="s">
        <v>169</v>
      </c>
      <c r="G809" s="43">
        <v>8643</v>
      </c>
      <c r="H809" s="43">
        <v>3197.91</v>
      </c>
      <c r="I809" s="43">
        <f>YEAR(tbl_dashboard[[#This Row],[Fecha]])</f>
        <v>2019</v>
      </c>
      <c r="J809" s="43" t="str">
        <f>TEXT(tbl_dashboard[[#This Row],[Fecha]],"mmmm")</f>
        <v>Octubre</v>
      </c>
      <c r="K809" s="43">
        <f>WEEKNUM(tbl_dashboard[[#This Row],[Fecha]],2)</f>
        <v>43</v>
      </c>
    </row>
    <row r="810" spans="2:11" x14ac:dyDescent="0.2">
      <c r="B810" s="75">
        <v>43762</v>
      </c>
      <c r="C810" s="43" t="s">
        <v>172</v>
      </c>
      <c r="D810" s="43" t="s">
        <v>165</v>
      </c>
      <c r="E810" s="43" t="s">
        <v>166</v>
      </c>
      <c r="F810" s="43" t="s">
        <v>169</v>
      </c>
      <c r="G810" s="43">
        <v>1786</v>
      </c>
      <c r="H810" s="43">
        <v>392.92</v>
      </c>
      <c r="I810" s="43">
        <f>YEAR(tbl_dashboard[[#This Row],[Fecha]])</f>
        <v>2019</v>
      </c>
      <c r="J810" s="43" t="str">
        <f>TEXT(tbl_dashboard[[#This Row],[Fecha]],"mmmm")</f>
        <v>Octubre</v>
      </c>
      <c r="K810" s="43">
        <f>WEEKNUM(tbl_dashboard[[#This Row],[Fecha]],2)</f>
        <v>43</v>
      </c>
    </row>
    <row r="811" spans="2:11" x14ac:dyDescent="0.2">
      <c r="B811" s="75">
        <v>43769</v>
      </c>
      <c r="C811" s="43" t="s">
        <v>173</v>
      </c>
      <c r="D811" s="43" t="s">
        <v>161</v>
      </c>
      <c r="E811" s="43" t="s">
        <v>162</v>
      </c>
      <c r="F811" s="43" t="s">
        <v>163</v>
      </c>
      <c r="G811" s="43">
        <v>8903</v>
      </c>
      <c r="H811" s="43">
        <v>1335.45</v>
      </c>
      <c r="I811" s="43">
        <f>YEAR(tbl_dashboard[[#This Row],[Fecha]])</f>
        <v>2019</v>
      </c>
      <c r="J811" s="43" t="str">
        <f>TEXT(tbl_dashboard[[#This Row],[Fecha]],"mmmm")</f>
        <v>Octubre</v>
      </c>
      <c r="K811" s="43">
        <f>WEEKNUM(tbl_dashboard[[#This Row],[Fecha]],2)</f>
        <v>44</v>
      </c>
    </row>
    <row r="812" spans="2:11" x14ac:dyDescent="0.2">
      <c r="B812" s="75">
        <v>43769</v>
      </c>
      <c r="C812" s="43" t="s">
        <v>174</v>
      </c>
      <c r="D812" s="43" t="s">
        <v>165</v>
      </c>
      <c r="E812" s="43" t="s">
        <v>162</v>
      </c>
      <c r="F812" s="43" t="s">
        <v>163</v>
      </c>
      <c r="G812" s="43">
        <v>5866</v>
      </c>
      <c r="H812" s="43">
        <v>997.22</v>
      </c>
      <c r="I812" s="43">
        <f>YEAR(tbl_dashboard[[#This Row],[Fecha]])</f>
        <v>2019</v>
      </c>
      <c r="J812" s="43" t="str">
        <f>TEXT(tbl_dashboard[[#This Row],[Fecha]],"mmmm")</f>
        <v>Octubre</v>
      </c>
      <c r="K812" s="43">
        <f>WEEKNUM(tbl_dashboard[[#This Row],[Fecha]],2)</f>
        <v>44</v>
      </c>
    </row>
    <row r="813" spans="2:11" x14ac:dyDescent="0.2">
      <c r="B813" s="75">
        <v>43769</v>
      </c>
      <c r="C813" s="43" t="s">
        <v>175</v>
      </c>
      <c r="D813" s="43" t="s">
        <v>168</v>
      </c>
      <c r="E813" s="43" t="s">
        <v>162</v>
      </c>
      <c r="F813" s="43" t="s">
        <v>169</v>
      </c>
      <c r="G813" s="43">
        <v>9172</v>
      </c>
      <c r="H813" s="43">
        <v>2659.88</v>
      </c>
      <c r="I813" s="43">
        <f>YEAR(tbl_dashboard[[#This Row],[Fecha]])</f>
        <v>2019</v>
      </c>
      <c r="J813" s="43" t="str">
        <f>TEXT(tbl_dashboard[[#This Row],[Fecha]],"mmmm")</f>
        <v>Octubre</v>
      </c>
      <c r="K813" s="43">
        <f>WEEKNUM(tbl_dashboard[[#This Row],[Fecha]],2)</f>
        <v>44</v>
      </c>
    </row>
    <row r="814" spans="2:11" x14ac:dyDescent="0.2">
      <c r="B814" s="75">
        <v>43769</v>
      </c>
      <c r="C814" s="43" t="s">
        <v>176</v>
      </c>
      <c r="D814" s="43" t="s">
        <v>161</v>
      </c>
      <c r="E814" s="43" t="s">
        <v>166</v>
      </c>
      <c r="F814" s="43" t="s">
        <v>169</v>
      </c>
      <c r="G814" s="43">
        <v>11208</v>
      </c>
      <c r="H814" s="43">
        <v>2353.6799999999998</v>
      </c>
      <c r="I814" s="43">
        <f>YEAR(tbl_dashboard[[#This Row],[Fecha]])</f>
        <v>2019</v>
      </c>
      <c r="J814" s="43" t="str">
        <f>TEXT(tbl_dashboard[[#This Row],[Fecha]],"mmmm")</f>
        <v>Octubre</v>
      </c>
      <c r="K814" s="43">
        <f>WEEKNUM(tbl_dashboard[[#This Row],[Fecha]],2)</f>
        <v>44</v>
      </c>
    </row>
    <row r="815" spans="2:11" x14ac:dyDescent="0.2">
      <c r="B815" s="75">
        <v>43769</v>
      </c>
      <c r="C815" s="43" t="s">
        <v>177</v>
      </c>
      <c r="D815" s="43" t="s">
        <v>165</v>
      </c>
      <c r="E815" s="43" t="s">
        <v>162</v>
      </c>
      <c r="F815" s="43" t="s">
        <v>163</v>
      </c>
      <c r="G815" s="43">
        <v>1314</v>
      </c>
      <c r="H815" s="43">
        <v>302.22000000000003</v>
      </c>
      <c r="I815" s="43">
        <f>YEAR(tbl_dashboard[[#This Row],[Fecha]])</f>
        <v>2019</v>
      </c>
      <c r="J815" s="43" t="str">
        <f>TEXT(tbl_dashboard[[#This Row],[Fecha]],"mmmm")</f>
        <v>Octubre</v>
      </c>
      <c r="K815" s="43">
        <f>WEEKNUM(tbl_dashboard[[#This Row],[Fecha]],2)</f>
        <v>44</v>
      </c>
    </row>
    <row r="816" spans="2:11" x14ac:dyDescent="0.2">
      <c r="B816" s="75">
        <v>43769</v>
      </c>
      <c r="C816" s="43" t="s">
        <v>178</v>
      </c>
      <c r="D816" s="43" t="s">
        <v>168</v>
      </c>
      <c r="E816" s="43" t="s">
        <v>166</v>
      </c>
      <c r="F816" s="43" t="s">
        <v>163</v>
      </c>
      <c r="G816" s="43">
        <v>1834</v>
      </c>
      <c r="H816" s="43">
        <v>476.84</v>
      </c>
      <c r="I816" s="43">
        <f>YEAR(tbl_dashboard[[#This Row],[Fecha]])</f>
        <v>2019</v>
      </c>
      <c r="J816" s="43" t="str">
        <f>TEXT(tbl_dashboard[[#This Row],[Fecha]],"mmmm")</f>
        <v>Octubre</v>
      </c>
      <c r="K816" s="43">
        <f>WEEKNUM(tbl_dashboard[[#This Row],[Fecha]],2)</f>
        <v>44</v>
      </c>
    </row>
    <row r="817" spans="2:11" x14ac:dyDescent="0.2">
      <c r="B817" s="75">
        <v>43768</v>
      </c>
      <c r="C817" s="43" t="s">
        <v>179</v>
      </c>
      <c r="D817" s="43" t="s">
        <v>168</v>
      </c>
      <c r="E817" s="43" t="s">
        <v>166</v>
      </c>
      <c r="F817" s="43" t="s">
        <v>169</v>
      </c>
      <c r="G817" s="43">
        <v>5577</v>
      </c>
      <c r="H817" s="43">
        <v>2509.65</v>
      </c>
      <c r="I817" s="43">
        <f>YEAR(tbl_dashboard[[#This Row],[Fecha]])</f>
        <v>2019</v>
      </c>
      <c r="J817" s="43" t="str">
        <f>TEXT(tbl_dashboard[[#This Row],[Fecha]],"mmmm")</f>
        <v>Octubre</v>
      </c>
      <c r="K817" s="43">
        <f>WEEKNUM(tbl_dashboard[[#This Row],[Fecha]],2)</f>
        <v>44</v>
      </c>
    </row>
    <row r="818" spans="2:11" x14ac:dyDescent="0.2">
      <c r="B818" s="75">
        <v>43764</v>
      </c>
      <c r="C818" s="43" t="s">
        <v>180</v>
      </c>
      <c r="D818" s="43" t="s">
        <v>165</v>
      </c>
      <c r="E818" s="43" t="s">
        <v>166</v>
      </c>
      <c r="F818" s="43" t="s">
        <v>163</v>
      </c>
      <c r="G818" s="43">
        <v>9480</v>
      </c>
      <c r="H818" s="43">
        <v>3128.4</v>
      </c>
      <c r="I818" s="43">
        <f>YEAR(tbl_dashboard[[#This Row],[Fecha]])</f>
        <v>2019</v>
      </c>
      <c r="J818" s="43" t="str">
        <f>TEXT(tbl_dashboard[[#This Row],[Fecha]],"mmmm")</f>
        <v>Octubre</v>
      </c>
      <c r="K818" s="43">
        <f>WEEKNUM(tbl_dashboard[[#This Row],[Fecha]],2)</f>
        <v>43</v>
      </c>
    </row>
    <row r="819" spans="2:11" x14ac:dyDescent="0.2">
      <c r="B819" s="75">
        <v>43763</v>
      </c>
      <c r="C819" s="43" t="s">
        <v>181</v>
      </c>
      <c r="D819" s="43" t="s">
        <v>165</v>
      </c>
      <c r="E819" s="43" t="s">
        <v>166</v>
      </c>
      <c r="F819" s="43" t="s">
        <v>169</v>
      </c>
      <c r="G819" s="43">
        <v>7364</v>
      </c>
      <c r="H819" s="43">
        <v>1472.8</v>
      </c>
      <c r="I819" s="43">
        <f>YEAR(tbl_dashboard[[#This Row],[Fecha]])</f>
        <v>2019</v>
      </c>
      <c r="J819" s="43" t="str">
        <f>TEXT(tbl_dashboard[[#This Row],[Fecha]],"mmmm")</f>
        <v>Octubre</v>
      </c>
      <c r="K819" s="43">
        <f>WEEKNUM(tbl_dashboard[[#This Row],[Fecha]],2)</f>
        <v>43</v>
      </c>
    </row>
    <row r="820" spans="2:11" x14ac:dyDescent="0.2">
      <c r="B820" s="75">
        <v>43763</v>
      </c>
      <c r="C820" s="43" t="s">
        <v>182</v>
      </c>
      <c r="D820" s="43" t="s">
        <v>165</v>
      </c>
      <c r="E820" s="43" t="s">
        <v>162</v>
      </c>
      <c r="F820" s="43" t="s">
        <v>169</v>
      </c>
      <c r="G820" s="43">
        <v>5268</v>
      </c>
      <c r="H820" s="43">
        <v>2265.2399999999998</v>
      </c>
      <c r="I820" s="43">
        <f>YEAR(tbl_dashboard[[#This Row],[Fecha]])</f>
        <v>2019</v>
      </c>
      <c r="J820" s="43" t="str">
        <f>TEXT(tbl_dashboard[[#This Row],[Fecha]],"mmmm")</f>
        <v>Octubre</v>
      </c>
      <c r="K820" s="43">
        <f>WEEKNUM(tbl_dashboard[[#This Row],[Fecha]],2)</f>
        <v>43</v>
      </c>
    </row>
    <row r="821" spans="2:11" x14ac:dyDescent="0.2">
      <c r="B821" s="75">
        <v>43763</v>
      </c>
      <c r="C821" s="43" t="s">
        <v>183</v>
      </c>
      <c r="D821" s="43" t="s">
        <v>161</v>
      </c>
      <c r="E821" s="43" t="s">
        <v>162</v>
      </c>
      <c r="F821" s="43" t="s">
        <v>169</v>
      </c>
      <c r="G821" s="43">
        <v>6689</v>
      </c>
      <c r="H821" s="43">
        <v>1872.92</v>
      </c>
      <c r="I821" s="43">
        <f>YEAR(tbl_dashboard[[#This Row],[Fecha]])</f>
        <v>2019</v>
      </c>
      <c r="J821" s="43" t="str">
        <f>TEXT(tbl_dashboard[[#This Row],[Fecha]],"mmmm")</f>
        <v>Octubre</v>
      </c>
      <c r="K821" s="43">
        <f>WEEKNUM(tbl_dashboard[[#This Row],[Fecha]],2)</f>
        <v>43</v>
      </c>
    </row>
    <row r="822" spans="2:11" x14ac:dyDescent="0.2">
      <c r="B822" s="75">
        <v>43763</v>
      </c>
      <c r="C822" s="43" t="s">
        <v>184</v>
      </c>
      <c r="D822" s="43" t="s">
        <v>161</v>
      </c>
      <c r="E822" s="43" t="s">
        <v>162</v>
      </c>
      <c r="F822" s="43" t="s">
        <v>169</v>
      </c>
      <c r="G822" s="43">
        <v>8902</v>
      </c>
      <c r="H822" s="43">
        <v>2314.52</v>
      </c>
      <c r="I822" s="43">
        <f>YEAR(tbl_dashboard[[#This Row],[Fecha]])</f>
        <v>2019</v>
      </c>
      <c r="J822" s="43" t="str">
        <f>TEXT(tbl_dashboard[[#This Row],[Fecha]],"mmmm")</f>
        <v>Octubre</v>
      </c>
      <c r="K822" s="43">
        <f>WEEKNUM(tbl_dashboard[[#This Row],[Fecha]],2)</f>
        <v>43</v>
      </c>
    </row>
    <row r="823" spans="2:11" x14ac:dyDescent="0.2">
      <c r="B823" s="75">
        <v>43762</v>
      </c>
      <c r="C823" s="43" t="s">
        <v>185</v>
      </c>
      <c r="D823" s="43" t="s">
        <v>165</v>
      </c>
      <c r="E823" s="43" t="s">
        <v>166</v>
      </c>
      <c r="F823" s="43" t="s">
        <v>169</v>
      </c>
      <c r="G823" s="43">
        <v>4397</v>
      </c>
      <c r="H823" s="43">
        <v>1626.89</v>
      </c>
      <c r="I823" s="43">
        <f>YEAR(tbl_dashboard[[#This Row],[Fecha]])</f>
        <v>2019</v>
      </c>
      <c r="J823" s="43" t="str">
        <f>TEXT(tbl_dashboard[[#This Row],[Fecha]],"mmmm")</f>
        <v>Octubre</v>
      </c>
      <c r="K823" s="43">
        <f>WEEKNUM(tbl_dashboard[[#This Row],[Fecha]],2)</f>
        <v>43</v>
      </c>
    </row>
    <row r="824" spans="2:11" x14ac:dyDescent="0.2">
      <c r="B824" s="75">
        <v>43768</v>
      </c>
      <c r="C824" s="43" t="s">
        <v>186</v>
      </c>
      <c r="D824" s="43" t="s">
        <v>168</v>
      </c>
      <c r="E824" s="43" t="s">
        <v>166</v>
      </c>
      <c r="F824" s="43" t="s">
        <v>163</v>
      </c>
      <c r="G824" s="43">
        <v>9930</v>
      </c>
      <c r="H824" s="43">
        <v>3574.8</v>
      </c>
      <c r="I824" s="43">
        <f>YEAR(tbl_dashboard[[#This Row],[Fecha]])</f>
        <v>2019</v>
      </c>
      <c r="J824" s="43" t="str">
        <f>TEXT(tbl_dashboard[[#This Row],[Fecha]],"mmmm")</f>
        <v>Octubre</v>
      </c>
      <c r="K824" s="43">
        <f>WEEKNUM(tbl_dashboard[[#This Row],[Fecha]],2)</f>
        <v>44</v>
      </c>
    </row>
    <row r="825" spans="2:11" x14ac:dyDescent="0.2">
      <c r="B825" s="75">
        <v>43768</v>
      </c>
      <c r="C825" s="43" t="s">
        <v>187</v>
      </c>
      <c r="D825" s="43" t="s">
        <v>168</v>
      </c>
      <c r="E825" s="43" t="s">
        <v>162</v>
      </c>
      <c r="F825" s="43" t="s">
        <v>163</v>
      </c>
      <c r="G825" s="43">
        <v>1145</v>
      </c>
      <c r="H825" s="43">
        <v>251.9</v>
      </c>
      <c r="I825" s="43">
        <f>YEAR(tbl_dashboard[[#This Row],[Fecha]])</f>
        <v>2019</v>
      </c>
      <c r="J825" s="43" t="str">
        <f>TEXT(tbl_dashboard[[#This Row],[Fecha]],"mmmm")</f>
        <v>Octubre</v>
      </c>
      <c r="K825" s="43">
        <f>WEEKNUM(tbl_dashboard[[#This Row],[Fecha]],2)</f>
        <v>44</v>
      </c>
    </row>
    <row r="826" spans="2:11" x14ac:dyDescent="0.2">
      <c r="B826" s="75">
        <v>43768</v>
      </c>
      <c r="C826" s="43" t="s">
        <v>188</v>
      </c>
      <c r="D826" s="43" t="s">
        <v>165</v>
      </c>
      <c r="E826" s="43" t="s">
        <v>162</v>
      </c>
      <c r="F826" s="43" t="s">
        <v>169</v>
      </c>
      <c r="G826" s="43">
        <v>5820</v>
      </c>
      <c r="H826" s="43">
        <v>1862.4</v>
      </c>
      <c r="I826" s="43">
        <f>YEAR(tbl_dashboard[[#This Row],[Fecha]])</f>
        <v>2019</v>
      </c>
      <c r="J826" s="43" t="str">
        <f>TEXT(tbl_dashboard[[#This Row],[Fecha]],"mmmm")</f>
        <v>Octubre</v>
      </c>
      <c r="K826" s="43">
        <f>WEEKNUM(tbl_dashboard[[#This Row],[Fecha]],2)</f>
        <v>44</v>
      </c>
    </row>
    <row r="827" spans="2:11" x14ac:dyDescent="0.2">
      <c r="B827" s="75">
        <v>43799</v>
      </c>
      <c r="C827" s="43" t="s">
        <v>160</v>
      </c>
      <c r="D827" s="43" t="s">
        <v>165</v>
      </c>
      <c r="E827" s="43" t="s">
        <v>166</v>
      </c>
      <c r="F827" s="43" t="s">
        <v>169</v>
      </c>
      <c r="G827" s="43">
        <v>6044</v>
      </c>
      <c r="H827" s="43">
        <v>906.6</v>
      </c>
      <c r="I827" s="43">
        <f>YEAR(tbl_dashboard[[#This Row],[Fecha]])</f>
        <v>2019</v>
      </c>
      <c r="J827" s="43" t="str">
        <f>TEXT(tbl_dashboard[[#This Row],[Fecha]],"mmmm")</f>
        <v>Noviembre</v>
      </c>
      <c r="K827" s="43">
        <f>WEEKNUM(tbl_dashboard[[#This Row],[Fecha]],2)</f>
        <v>48</v>
      </c>
    </row>
    <row r="828" spans="2:11" x14ac:dyDescent="0.2">
      <c r="B828" s="75">
        <v>43799</v>
      </c>
      <c r="C828" s="43" t="s">
        <v>164</v>
      </c>
      <c r="D828" s="43" t="s">
        <v>165</v>
      </c>
      <c r="E828" s="43" t="s">
        <v>166</v>
      </c>
      <c r="F828" s="43" t="s">
        <v>163</v>
      </c>
      <c r="G828" s="43">
        <v>11007</v>
      </c>
      <c r="H828" s="43">
        <v>2751.75</v>
      </c>
      <c r="I828" s="43">
        <f>YEAR(tbl_dashboard[[#This Row],[Fecha]])</f>
        <v>2019</v>
      </c>
      <c r="J828" s="43" t="str">
        <f>TEXT(tbl_dashboard[[#This Row],[Fecha]],"mmmm")</f>
        <v>Noviembre</v>
      </c>
      <c r="K828" s="43">
        <f>WEEKNUM(tbl_dashboard[[#This Row],[Fecha]],2)</f>
        <v>48</v>
      </c>
    </row>
    <row r="829" spans="2:11" x14ac:dyDescent="0.2">
      <c r="B829" s="75">
        <v>43799</v>
      </c>
      <c r="C829" s="43" t="s">
        <v>167</v>
      </c>
      <c r="D829" s="43" t="s">
        <v>161</v>
      </c>
      <c r="E829" s="43" t="s">
        <v>166</v>
      </c>
      <c r="F829" s="43" t="s">
        <v>163</v>
      </c>
      <c r="G829" s="43">
        <v>8249</v>
      </c>
      <c r="H829" s="43">
        <v>3299.6</v>
      </c>
      <c r="I829" s="43">
        <f>YEAR(tbl_dashboard[[#This Row],[Fecha]])</f>
        <v>2019</v>
      </c>
      <c r="J829" s="43" t="str">
        <f>TEXT(tbl_dashboard[[#This Row],[Fecha]],"mmmm")</f>
        <v>Noviembre</v>
      </c>
      <c r="K829" s="43">
        <f>WEEKNUM(tbl_dashboard[[#This Row],[Fecha]],2)</f>
        <v>48</v>
      </c>
    </row>
    <row r="830" spans="2:11" x14ac:dyDescent="0.2">
      <c r="B830" s="75">
        <v>43799</v>
      </c>
      <c r="C830" s="43" t="s">
        <v>170</v>
      </c>
      <c r="D830" s="43" t="s">
        <v>165</v>
      </c>
      <c r="E830" s="43" t="s">
        <v>166</v>
      </c>
      <c r="F830" s="43" t="s">
        <v>169</v>
      </c>
      <c r="G830" s="43">
        <v>9144</v>
      </c>
      <c r="H830" s="43">
        <v>3291.84</v>
      </c>
      <c r="I830" s="43">
        <f>YEAR(tbl_dashboard[[#This Row],[Fecha]])</f>
        <v>2019</v>
      </c>
      <c r="J830" s="43" t="str">
        <f>TEXT(tbl_dashboard[[#This Row],[Fecha]],"mmmm")</f>
        <v>Noviembre</v>
      </c>
      <c r="K830" s="43">
        <f>WEEKNUM(tbl_dashboard[[#This Row],[Fecha]],2)</f>
        <v>48</v>
      </c>
    </row>
    <row r="831" spans="2:11" x14ac:dyDescent="0.2">
      <c r="B831" s="75">
        <v>43795</v>
      </c>
      <c r="C831" s="43" t="s">
        <v>171</v>
      </c>
      <c r="D831" s="43" t="s">
        <v>165</v>
      </c>
      <c r="E831" s="43" t="s">
        <v>166</v>
      </c>
      <c r="F831" s="43" t="s">
        <v>163</v>
      </c>
      <c r="G831" s="43">
        <v>1411</v>
      </c>
      <c r="H831" s="43">
        <v>366.86</v>
      </c>
      <c r="I831" s="43">
        <f>YEAR(tbl_dashboard[[#This Row],[Fecha]])</f>
        <v>2019</v>
      </c>
      <c r="J831" s="43" t="str">
        <f>TEXT(tbl_dashboard[[#This Row],[Fecha]],"mmmm")</f>
        <v>Noviembre</v>
      </c>
      <c r="K831" s="43">
        <f>WEEKNUM(tbl_dashboard[[#This Row],[Fecha]],2)</f>
        <v>48</v>
      </c>
    </row>
    <row r="832" spans="2:11" x14ac:dyDescent="0.2">
      <c r="B832" s="75">
        <v>43794</v>
      </c>
      <c r="C832" s="43" t="s">
        <v>172</v>
      </c>
      <c r="D832" s="43" t="s">
        <v>168</v>
      </c>
      <c r="E832" s="43" t="s">
        <v>162</v>
      </c>
      <c r="F832" s="43" t="s">
        <v>169</v>
      </c>
      <c r="G832" s="43">
        <v>5296</v>
      </c>
      <c r="H832" s="43">
        <v>1165.1199999999999</v>
      </c>
      <c r="I832" s="43">
        <f>YEAR(tbl_dashboard[[#This Row],[Fecha]])</f>
        <v>2019</v>
      </c>
      <c r="J832" s="43" t="str">
        <f>TEXT(tbl_dashboard[[#This Row],[Fecha]],"mmmm")</f>
        <v>Noviembre</v>
      </c>
      <c r="K832" s="43">
        <f>WEEKNUM(tbl_dashboard[[#This Row],[Fecha]],2)</f>
        <v>48</v>
      </c>
    </row>
    <row r="833" spans="2:11" x14ac:dyDescent="0.2">
      <c r="B833" s="75">
        <v>43794</v>
      </c>
      <c r="C833" s="43" t="s">
        <v>173</v>
      </c>
      <c r="D833" s="43" t="s">
        <v>165</v>
      </c>
      <c r="E833" s="43" t="s">
        <v>166</v>
      </c>
      <c r="F833" s="43" t="s">
        <v>169</v>
      </c>
      <c r="G833" s="43">
        <v>10031</v>
      </c>
      <c r="H833" s="43">
        <v>2206.8200000000002</v>
      </c>
      <c r="I833" s="43">
        <f>YEAR(tbl_dashboard[[#This Row],[Fecha]])</f>
        <v>2019</v>
      </c>
      <c r="J833" s="43" t="str">
        <f>TEXT(tbl_dashboard[[#This Row],[Fecha]],"mmmm")</f>
        <v>Noviembre</v>
      </c>
      <c r="K833" s="43">
        <f>WEEKNUM(tbl_dashboard[[#This Row],[Fecha]],2)</f>
        <v>48</v>
      </c>
    </row>
    <row r="834" spans="2:11" x14ac:dyDescent="0.2">
      <c r="B834" s="75">
        <v>43794</v>
      </c>
      <c r="C834" s="43" t="s">
        <v>174</v>
      </c>
      <c r="D834" s="43" t="s">
        <v>161</v>
      </c>
      <c r="E834" s="43" t="s">
        <v>166</v>
      </c>
      <c r="F834" s="43" t="s">
        <v>169</v>
      </c>
      <c r="G834" s="43">
        <v>11082</v>
      </c>
      <c r="H834" s="43">
        <v>4211.16</v>
      </c>
      <c r="I834" s="43">
        <f>YEAR(tbl_dashboard[[#This Row],[Fecha]])</f>
        <v>2019</v>
      </c>
      <c r="J834" s="43" t="str">
        <f>TEXT(tbl_dashboard[[#This Row],[Fecha]],"mmmm")</f>
        <v>Noviembre</v>
      </c>
      <c r="K834" s="43">
        <f>WEEKNUM(tbl_dashboard[[#This Row],[Fecha]],2)</f>
        <v>48</v>
      </c>
    </row>
    <row r="835" spans="2:11" x14ac:dyDescent="0.2">
      <c r="B835" s="75">
        <v>43794</v>
      </c>
      <c r="C835" s="43" t="s">
        <v>175</v>
      </c>
      <c r="D835" s="43" t="s">
        <v>161</v>
      </c>
      <c r="E835" s="43" t="s">
        <v>162</v>
      </c>
      <c r="F835" s="43" t="s">
        <v>169</v>
      </c>
      <c r="G835" s="43">
        <v>7719</v>
      </c>
      <c r="H835" s="43">
        <v>2624.46</v>
      </c>
      <c r="I835" s="43">
        <f>YEAR(tbl_dashboard[[#This Row],[Fecha]])</f>
        <v>2019</v>
      </c>
      <c r="J835" s="43" t="str">
        <f>TEXT(tbl_dashboard[[#This Row],[Fecha]],"mmmm")</f>
        <v>Noviembre</v>
      </c>
      <c r="K835" s="43">
        <f>WEEKNUM(tbl_dashboard[[#This Row],[Fecha]],2)</f>
        <v>48</v>
      </c>
    </row>
    <row r="836" spans="2:11" x14ac:dyDescent="0.2">
      <c r="B836" s="75">
        <v>43793</v>
      </c>
      <c r="C836" s="43" t="s">
        <v>176</v>
      </c>
      <c r="D836" s="43" t="s">
        <v>161</v>
      </c>
      <c r="E836" s="43" t="s">
        <v>162</v>
      </c>
      <c r="F836" s="43" t="s">
        <v>169</v>
      </c>
      <c r="G836" s="43">
        <v>7723</v>
      </c>
      <c r="H836" s="43">
        <v>2703.05</v>
      </c>
      <c r="I836" s="43">
        <f>YEAR(tbl_dashboard[[#This Row],[Fecha]])</f>
        <v>2019</v>
      </c>
      <c r="J836" s="43" t="str">
        <f>TEXT(tbl_dashboard[[#This Row],[Fecha]],"mmmm")</f>
        <v>Noviembre</v>
      </c>
      <c r="K836" s="43">
        <f>WEEKNUM(tbl_dashboard[[#This Row],[Fecha]],2)</f>
        <v>47</v>
      </c>
    </row>
    <row r="837" spans="2:11" x14ac:dyDescent="0.2">
      <c r="B837" s="75">
        <v>43793</v>
      </c>
      <c r="C837" s="43" t="s">
        <v>177</v>
      </c>
      <c r="D837" s="43" t="s">
        <v>168</v>
      </c>
      <c r="E837" s="43" t="s">
        <v>166</v>
      </c>
      <c r="F837" s="43" t="s">
        <v>163</v>
      </c>
      <c r="G837" s="43">
        <v>11212</v>
      </c>
      <c r="H837" s="43">
        <v>3924.2</v>
      </c>
      <c r="I837" s="43">
        <f>YEAR(tbl_dashboard[[#This Row],[Fecha]])</f>
        <v>2019</v>
      </c>
      <c r="J837" s="43" t="str">
        <f>TEXT(tbl_dashboard[[#This Row],[Fecha]],"mmmm")</f>
        <v>Noviembre</v>
      </c>
      <c r="K837" s="43">
        <f>WEEKNUM(tbl_dashboard[[#This Row],[Fecha]],2)</f>
        <v>47</v>
      </c>
    </row>
    <row r="838" spans="2:11" x14ac:dyDescent="0.2">
      <c r="B838" s="75">
        <v>43793</v>
      </c>
      <c r="C838" s="43" t="s">
        <v>178</v>
      </c>
      <c r="D838" s="43" t="s">
        <v>161</v>
      </c>
      <c r="E838" s="43" t="s">
        <v>162</v>
      </c>
      <c r="F838" s="43" t="s">
        <v>163</v>
      </c>
      <c r="G838" s="43">
        <v>9329</v>
      </c>
      <c r="H838" s="43">
        <v>2238.96</v>
      </c>
      <c r="I838" s="43">
        <f>YEAR(tbl_dashboard[[#This Row],[Fecha]])</f>
        <v>2019</v>
      </c>
      <c r="J838" s="43" t="str">
        <f>TEXT(tbl_dashboard[[#This Row],[Fecha]],"mmmm")</f>
        <v>Noviembre</v>
      </c>
      <c r="K838" s="43">
        <f>WEEKNUM(tbl_dashboard[[#This Row],[Fecha]],2)</f>
        <v>47</v>
      </c>
    </row>
    <row r="839" spans="2:11" x14ac:dyDescent="0.2">
      <c r="B839" s="75">
        <v>43793</v>
      </c>
      <c r="C839" s="43" t="s">
        <v>179</v>
      </c>
      <c r="D839" s="43" t="s">
        <v>161</v>
      </c>
      <c r="E839" s="43" t="s">
        <v>162</v>
      </c>
      <c r="F839" s="43" t="s">
        <v>169</v>
      </c>
      <c r="G839" s="43">
        <v>11627</v>
      </c>
      <c r="H839" s="43">
        <v>3488.1</v>
      </c>
      <c r="I839" s="43">
        <f>YEAR(tbl_dashboard[[#This Row],[Fecha]])</f>
        <v>2019</v>
      </c>
      <c r="J839" s="43" t="str">
        <f>TEXT(tbl_dashboard[[#This Row],[Fecha]],"mmmm")</f>
        <v>Noviembre</v>
      </c>
      <c r="K839" s="43">
        <f>WEEKNUM(tbl_dashboard[[#This Row],[Fecha]],2)</f>
        <v>47</v>
      </c>
    </row>
    <row r="840" spans="2:11" x14ac:dyDescent="0.2">
      <c r="B840" s="75">
        <v>43793</v>
      </c>
      <c r="C840" s="43" t="s">
        <v>180</v>
      </c>
      <c r="D840" s="43" t="s">
        <v>168</v>
      </c>
      <c r="E840" s="43" t="s">
        <v>166</v>
      </c>
      <c r="F840" s="43" t="s">
        <v>169</v>
      </c>
      <c r="G840" s="43">
        <v>5416</v>
      </c>
      <c r="H840" s="43">
        <v>2112.2399999999998</v>
      </c>
      <c r="I840" s="43">
        <f>YEAR(tbl_dashboard[[#This Row],[Fecha]])</f>
        <v>2019</v>
      </c>
      <c r="J840" s="43" t="str">
        <f>TEXT(tbl_dashboard[[#This Row],[Fecha]],"mmmm")</f>
        <v>Noviembre</v>
      </c>
      <c r="K840" s="43">
        <f>WEEKNUM(tbl_dashboard[[#This Row],[Fecha]],2)</f>
        <v>47</v>
      </c>
    </row>
    <row r="841" spans="2:11" x14ac:dyDescent="0.2">
      <c r="B841" s="75">
        <v>43830</v>
      </c>
      <c r="C841" s="43" t="s">
        <v>160</v>
      </c>
      <c r="D841" s="43" t="s">
        <v>161</v>
      </c>
      <c r="E841" s="43" t="s">
        <v>162</v>
      </c>
      <c r="F841" s="43" t="s">
        <v>163</v>
      </c>
      <c r="G841" s="43">
        <v>9293</v>
      </c>
      <c r="H841" s="43">
        <v>1765.67</v>
      </c>
      <c r="I841" s="43">
        <f>YEAR(tbl_dashboard[[#This Row],[Fecha]])</f>
        <v>2019</v>
      </c>
      <c r="J841" s="43" t="str">
        <f>TEXT(tbl_dashboard[[#This Row],[Fecha]],"mmmm")</f>
        <v>Diciembre</v>
      </c>
      <c r="K841" s="43">
        <f>WEEKNUM(tbl_dashboard[[#This Row],[Fecha]],2)</f>
        <v>53</v>
      </c>
    </row>
    <row r="842" spans="2:11" x14ac:dyDescent="0.2">
      <c r="B842" s="75">
        <v>43830</v>
      </c>
      <c r="C842" s="43" t="s">
        <v>164</v>
      </c>
      <c r="D842" s="43" t="s">
        <v>168</v>
      </c>
      <c r="E842" s="43" t="s">
        <v>162</v>
      </c>
      <c r="F842" s="43" t="s">
        <v>163</v>
      </c>
      <c r="G842" s="43">
        <v>8696</v>
      </c>
      <c r="H842" s="43">
        <v>3217.52</v>
      </c>
      <c r="I842" s="43">
        <f>YEAR(tbl_dashboard[[#This Row],[Fecha]])</f>
        <v>2019</v>
      </c>
      <c r="J842" s="43" t="str">
        <f>TEXT(tbl_dashboard[[#This Row],[Fecha]],"mmmm")</f>
        <v>Diciembre</v>
      </c>
      <c r="K842" s="43">
        <f>WEEKNUM(tbl_dashboard[[#This Row],[Fecha]],2)</f>
        <v>53</v>
      </c>
    </row>
    <row r="843" spans="2:11" x14ac:dyDescent="0.2">
      <c r="B843" s="75">
        <v>43829</v>
      </c>
      <c r="C843" s="43" t="s">
        <v>167</v>
      </c>
      <c r="D843" s="43" t="s">
        <v>168</v>
      </c>
      <c r="E843" s="43" t="s">
        <v>162</v>
      </c>
      <c r="F843" s="43" t="s">
        <v>169</v>
      </c>
      <c r="G843" s="43">
        <v>9109</v>
      </c>
      <c r="H843" s="43">
        <v>2641.61</v>
      </c>
      <c r="I843" s="43">
        <f>YEAR(tbl_dashboard[[#This Row],[Fecha]])</f>
        <v>2019</v>
      </c>
      <c r="J843" s="43" t="str">
        <f>TEXT(tbl_dashboard[[#This Row],[Fecha]],"mmmm")</f>
        <v>Diciembre</v>
      </c>
      <c r="K843" s="43">
        <f>WEEKNUM(tbl_dashboard[[#This Row],[Fecha]],2)</f>
        <v>53</v>
      </c>
    </row>
    <row r="844" spans="2:11" x14ac:dyDescent="0.2">
      <c r="B844" s="75">
        <v>43825</v>
      </c>
      <c r="C844" s="43" t="s">
        <v>170</v>
      </c>
      <c r="D844" s="43" t="s">
        <v>168</v>
      </c>
      <c r="E844" s="43" t="s">
        <v>162</v>
      </c>
      <c r="F844" s="43" t="s">
        <v>163</v>
      </c>
      <c r="G844" s="43">
        <v>1855</v>
      </c>
      <c r="H844" s="43">
        <v>816.2</v>
      </c>
      <c r="I844" s="43">
        <f>YEAR(tbl_dashboard[[#This Row],[Fecha]])</f>
        <v>2019</v>
      </c>
      <c r="J844" s="43" t="str">
        <f>TEXT(tbl_dashboard[[#This Row],[Fecha]],"mmmm")</f>
        <v>Diciembre</v>
      </c>
      <c r="K844" s="43">
        <f>WEEKNUM(tbl_dashboard[[#This Row],[Fecha]],2)</f>
        <v>52</v>
      </c>
    </row>
    <row r="845" spans="2:11" x14ac:dyDescent="0.2">
      <c r="B845" s="75">
        <v>43824</v>
      </c>
      <c r="C845" s="43" t="s">
        <v>171</v>
      </c>
      <c r="D845" s="43" t="s">
        <v>168</v>
      </c>
      <c r="E845" s="43" t="s">
        <v>162</v>
      </c>
      <c r="F845" s="43" t="s">
        <v>169</v>
      </c>
      <c r="G845" s="43">
        <v>6901</v>
      </c>
      <c r="H845" s="43">
        <v>2967.43</v>
      </c>
      <c r="I845" s="43">
        <f>YEAR(tbl_dashboard[[#This Row],[Fecha]])</f>
        <v>2019</v>
      </c>
      <c r="J845" s="43" t="str">
        <f>TEXT(tbl_dashboard[[#This Row],[Fecha]],"mmmm")</f>
        <v>Diciembre</v>
      </c>
      <c r="K845" s="43">
        <f>WEEKNUM(tbl_dashboard[[#This Row],[Fecha]],2)</f>
        <v>52</v>
      </c>
    </row>
    <row r="846" spans="2:11" x14ac:dyDescent="0.2">
      <c r="B846" s="75">
        <v>43824</v>
      </c>
      <c r="C846" s="43" t="s">
        <v>172</v>
      </c>
      <c r="D846" s="43" t="s">
        <v>165</v>
      </c>
      <c r="E846" s="43" t="s">
        <v>166</v>
      </c>
      <c r="F846" s="43" t="s">
        <v>169</v>
      </c>
      <c r="G846" s="43">
        <v>10816</v>
      </c>
      <c r="H846" s="43">
        <v>2163.1999999999998</v>
      </c>
      <c r="I846" s="43">
        <f>YEAR(tbl_dashboard[[#This Row],[Fecha]])</f>
        <v>2019</v>
      </c>
      <c r="J846" s="43" t="str">
        <f>TEXT(tbl_dashboard[[#This Row],[Fecha]],"mmmm")</f>
        <v>Diciembre</v>
      </c>
      <c r="K846" s="43">
        <f>WEEKNUM(tbl_dashboard[[#This Row],[Fecha]],2)</f>
        <v>52</v>
      </c>
    </row>
    <row r="847" spans="2:11" x14ac:dyDescent="0.2">
      <c r="B847" s="75">
        <v>43824</v>
      </c>
      <c r="C847" s="43" t="s">
        <v>173</v>
      </c>
      <c r="D847" s="43" t="s">
        <v>168</v>
      </c>
      <c r="E847" s="43" t="s">
        <v>162</v>
      </c>
      <c r="F847" s="43" t="s">
        <v>169</v>
      </c>
      <c r="G847" s="43">
        <v>6317</v>
      </c>
      <c r="H847" s="43">
        <v>1579.25</v>
      </c>
      <c r="I847" s="43">
        <f>YEAR(tbl_dashboard[[#This Row],[Fecha]])</f>
        <v>2019</v>
      </c>
      <c r="J847" s="43" t="str">
        <f>TEXT(tbl_dashboard[[#This Row],[Fecha]],"mmmm")</f>
        <v>Diciembre</v>
      </c>
      <c r="K847" s="43">
        <f>WEEKNUM(tbl_dashboard[[#This Row],[Fecha]],2)</f>
        <v>52</v>
      </c>
    </row>
    <row r="848" spans="2:11" x14ac:dyDescent="0.2">
      <c r="B848" s="75">
        <v>43824</v>
      </c>
      <c r="C848" s="43" t="s">
        <v>174</v>
      </c>
      <c r="D848" s="43" t="s">
        <v>161</v>
      </c>
      <c r="E848" s="43" t="s">
        <v>162</v>
      </c>
      <c r="F848" s="43" t="s">
        <v>169</v>
      </c>
      <c r="G848" s="43">
        <v>2934</v>
      </c>
      <c r="H848" s="43">
        <v>909.54</v>
      </c>
      <c r="I848" s="43">
        <f>YEAR(tbl_dashboard[[#This Row],[Fecha]])</f>
        <v>2019</v>
      </c>
      <c r="J848" s="43" t="str">
        <f>TEXT(tbl_dashboard[[#This Row],[Fecha]],"mmmm")</f>
        <v>Diciembre</v>
      </c>
      <c r="K848" s="43">
        <f>WEEKNUM(tbl_dashboard[[#This Row],[Fecha]],2)</f>
        <v>52</v>
      </c>
    </row>
    <row r="849" spans="2:11" x14ac:dyDescent="0.2">
      <c r="B849" s="75">
        <v>43823</v>
      </c>
      <c r="C849" s="43" t="s">
        <v>175</v>
      </c>
      <c r="D849" s="43" t="s">
        <v>165</v>
      </c>
      <c r="E849" s="43" t="s">
        <v>162</v>
      </c>
      <c r="F849" s="43" t="s">
        <v>169</v>
      </c>
      <c r="G849" s="43">
        <v>1592</v>
      </c>
      <c r="H849" s="43">
        <v>270.64</v>
      </c>
      <c r="I849" s="43">
        <f>YEAR(tbl_dashboard[[#This Row],[Fecha]])</f>
        <v>2019</v>
      </c>
      <c r="J849" s="43" t="str">
        <f>TEXT(tbl_dashboard[[#This Row],[Fecha]],"mmmm")</f>
        <v>Diciembre</v>
      </c>
      <c r="K849" s="43">
        <f>WEEKNUM(tbl_dashboard[[#This Row],[Fecha]],2)</f>
        <v>52</v>
      </c>
    </row>
    <row r="850" spans="2:11" x14ac:dyDescent="0.2">
      <c r="B850" s="75">
        <v>43829</v>
      </c>
      <c r="C850" s="43" t="s">
        <v>176</v>
      </c>
      <c r="D850" s="43" t="s">
        <v>168</v>
      </c>
      <c r="E850" s="43" t="s">
        <v>166</v>
      </c>
      <c r="F850" s="43" t="s">
        <v>163</v>
      </c>
      <c r="G850" s="43">
        <v>5363</v>
      </c>
      <c r="H850" s="43">
        <v>2413.35</v>
      </c>
      <c r="I850" s="43">
        <f>YEAR(tbl_dashboard[[#This Row],[Fecha]])</f>
        <v>2019</v>
      </c>
      <c r="J850" s="43" t="str">
        <f>TEXT(tbl_dashboard[[#This Row],[Fecha]],"mmmm")</f>
        <v>Diciembre</v>
      </c>
      <c r="K850" s="43">
        <f>WEEKNUM(tbl_dashboard[[#This Row],[Fecha]],2)</f>
        <v>53</v>
      </c>
    </row>
    <row r="851" spans="2:11" x14ac:dyDescent="0.2">
      <c r="B851" s="75">
        <v>43829</v>
      </c>
      <c r="C851" s="43" t="s">
        <v>177</v>
      </c>
      <c r="D851" s="43" t="s">
        <v>165</v>
      </c>
      <c r="E851" s="43" t="s">
        <v>162</v>
      </c>
      <c r="F851" s="43" t="s">
        <v>163</v>
      </c>
      <c r="G851" s="43">
        <v>11622</v>
      </c>
      <c r="H851" s="43">
        <v>3719.04</v>
      </c>
      <c r="I851" s="43">
        <f>YEAR(tbl_dashboard[[#This Row],[Fecha]])</f>
        <v>2019</v>
      </c>
      <c r="J851" s="43" t="str">
        <f>TEXT(tbl_dashboard[[#This Row],[Fecha]],"mmmm")</f>
        <v>Diciembre</v>
      </c>
      <c r="K851" s="43">
        <f>WEEKNUM(tbl_dashboard[[#This Row],[Fecha]],2)</f>
        <v>53</v>
      </c>
    </row>
    <row r="852" spans="2:11" x14ac:dyDescent="0.2">
      <c r="B852" s="75">
        <v>43829</v>
      </c>
      <c r="C852" s="43" t="s">
        <v>178</v>
      </c>
      <c r="D852" s="43" t="s">
        <v>165</v>
      </c>
      <c r="E852" s="43" t="s">
        <v>166</v>
      </c>
      <c r="F852" s="43" t="s">
        <v>169</v>
      </c>
      <c r="G852" s="43">
        <v>11394</v>
      </c>
      <c r="H852" s="43">
        <v>1936.98</v>
      </c>
      <c r="I852" s="43">
        <f>YEAR(tbl_dashboard[[#This Row],[Fecha]])</f>
        <v>2019</v>
      </c>
      <c r="J852" s="43" t="str">
        <f>TEXT(tbl_dashboard[[#This Row],[Fecha]],"mmmm")</f>
        <v>Diciembre</v>
      </c>
      <c r="K852" s="43">
        <f>WEEKNUM(tbl_dashboard[[#This Row],[Fecha]],2)</f>
        <v>53</v>
      </c>
    </row>
    <row r="853" spans="2:11" x14ac:dyDescent="0.2">
      <c r="B853" s="75">
        <v>43829</v>
      </c>
      <c r="C853" s="43" t="s">
        <v>179</v>
      </c>
      <c r="D853" s="43" t="s">
        <v>165</v>
      </c>
      <c r="E853" s="43" t="s">
        <v>166</v>
      </c>
      <c r="F853" s="43" t="s">
        <v>169</v>
      </c>
      <c r="G853" s="43">
        <v>6126</v>
      </c>
      <c r="H853" s="43">
        <v>1041.42</v>
      </c>
      <c r="I853" s="43">
        <f>YEAR(tbl_dashboard[[#This Row],[Fecha]])</f>
        <v>2019</v>
      </c>
      <c r="J853" s="43" t="str">
        <f>TEXT(tbl_dashboard[[#This Row],[Fecha]],"mmmm")</f>
        <v>Diciembre</v>
      </c>
      <c r="K853" s="43">
        <f>WEEKNUM(tbl_dashboard[[#This Row],[Fecha]],2)</f>
        <v>53</v>
      </c>
    </row>
    <row r="854" spans="2:11" x14ac:dyDescent="0.2">
      <c r="B854" s="75">
        <v>43829</v>
      </c>
      <c r="C854" s="43" t="s">
        <v>180</v>
      </c>
      <c r="D854" s="43" t="s">
        <v>161</v>
      </c>
      <c r="E854" s="43" t="s">
        <v>162</v>
      </c>
      <c r="F854" s="43" t="s">
        <v>163</v>
      </c>
      <c r="G854" s="43">
        <v>4058</v>
      </c>
      <c r="H854" s="43">
        <v>771.02</v>
      </c>
      <c r="I854" s="43">
        <f>YEAR(tbl_dashboard[[#This Row],[Fecha]])</f>
        <v>2019</v>
      </c>
      <c r="J854" s="43" t="str">
        <f>TEXT(tbl_dashboard[[#This Row],[Fecha]],"mmmm")</f>
        <v>Diciembre</v>
      </c>
      <c r="K854" s="43">
        <f>WEEKNUM(tbl_dashboard[[#This Row],[Fecha]],2)</f>
        <v>53</v>
      </c>
    </row>
    <row r="855" spans="2:11" x14ac:dyDescent="0.2">
      <c r="B855" s="75">
        <v>43829</v>
      </c>
      <c r="C855" s="43" t="s">
        <v>181</v>
      </c>
      <c r="D855" s="43" t="s">
        <v>168</v>
      </c>
      <c r="E855" s="43" t="s">
        <v>166</v>
      </c>
      <c r="F855" s="43" t="s">
        <v>163</v>
      </c>
      <c r="G855" s="43">
        <v>6605</v>
      </c>
      <c r="H855" s="43">
        <v>1321</v>
      </c>
      <c r="I855" s="43">
        <f>YEAR(tbl_dashboard[[#This Row],[Fecha]])</f>
        <v>2019</v>
      </c>
      <c r="J855" s="43" t="str">
        <f>TEXT(tbl_dashboard[[#This Row],[Fecha]],"mmmm")</f>
        <v>Diciembre</v>
      </c>
      <c r="K855" s="43">
        <f>WEEKNUM(tbl_dashboard[[#This Row],[Fecha]],2)</f>
        <v>53</v>
      </c>
    </row>
    <row r="856" spans="2:11" x14ac:dyDescent="0.2">
      <c r="B856" s="75">
        <v>43829</v>
      </c>
      <c r="C856" s="43" t="s">
        <v>182</v>
      </c>
      <c r="D856" s="43" t="s">
        <v>168</v>
      </c>
      <c r="E856" s="43" t="s">
        <v>166</v>
      </c>
      <c r="F856" s="43" t="s">
        <v>169</v>
      </c>
      <c r="G856" s="43">
        <v>11096</v>
      </c>
      <c r="H856" s="43">
        <v>3217.84</v>
      </c>
      <c r="I856" s="43">
        <f>YEAR(tbl_dashboard[[#This Row],[Fecha]])</f>
        <v>2019</v>
      </c>
      <c r="J856" s="43" t="str">
        <f>TEXT(tbl_dashboard[[#This Row],[Fecha]],"mmmm")</f>
        <v>Diciembre</v>
      </c>
      <c r="K856" s="43">
        <f>WEEKNUM(tbl_dashboard[[#This Row],[Fecha]],2)</f>
        <v>53</v>
      </c>
    </row>
    <row r="857" spans="2:11" x14ac:dyDescent="0.2">
      <c r="B857" s="75">
        <v>43825</v>
      </c>
      <c r="C857" s="43" t="s">
        <v>183</v>
      </c>
      <c r="D857" s="43" t="s">
        <v>168</v>
      </c>
      <c r="E857" s="43" t="s">
        <v>162</v>
      </c>
      <c r="F857" s="43" t="s">
        <v>163</v>
      </c>
      <c r="G857" s="43">
        <v>7492</v>
      </c>
      <c r="H857" s="43">
        <v>2772.04</v>
      </c>
      <c r="I857" s="43">
        <f>YEAR(tbl_dashboard[[#This Row],[Fecha]])</f>
        <v>2019</v>
      </c>
      <c r="J857" s="43" t="str">
        <f>TEXT(tbl_dashboard[[#This Row],[Fecha]],"mmmm")</f>
        <v>Diciembre</v>
      </c>
      <c r="K857" s="43">
        <f>WEEKNUM(tbl_dashboard[[#This Row],[Fecha]],2)</f>
        <v>52</v>
      </c>
    </row>
    <row r="858" spans="2:11" x14ac:dyDescent="0.2">
      <c r="B858" s="75">
        <v>43824</v>
      </c>
      <c r="C858" s="43" t="s">
        <v>184</v>
      </c>
      <c r="D858" s="43" t="s">
        <v>165</v>
      </c>
      <c r="E858" s="43" t="s">
        <v>162</v>
      </c>
      <c r="F858" s="43" t="s">
        <v>169</v>
      </c>
      <c r="G858" s="43">
        <v>9415</v>
      </c>
      <c r="H858" s="43">
        <v>3389.4</v>
      </c>
      <c r="I858" s="43">
        <f>YEAR(tbl_dashboard[[#This Row],[Fecha]])</f>
        <v>2019</v>
      </c>
      <c r="J858" s="43" t="str">
        <f>TEXT(tbl_dashboard[[#This Row],[Fecha]],"mmmm")</f>
        <v>Diciembre</v>
      </c>
      <c r="K858" s="43">
        <f>WEEKNUM(tbl_dashboard[[#This Row],[Fecha]],2)</f>
        <v>52</v>
      </c>
    </row>
    <row r="859" spans="2:11" x14ac:dyDescent="0.2">
      <c r="B859" s="75">
        <v>43824</v>
      </c>
      <c r="C859" s="43" t="s">
        <v>185</v>
      </c>
      <c r="D859" s="43" t="s">
        <v>168</v>
      </c>
      <c r="E859" s="43" t="s">
        <v>166</v>
      </c>
      <c r="F859" s="43" t="s">
        <v>169</v>
      </c>
      <c r="G859" s="43">
        <v>11643</v>
      </c>
      <c r="H859" s="43">
        <v>4657.2</v>
      </c>
      <c r="I859" s="43">
        <f>YEAR(tbl_dashboard[[#This Row],[Fecha]])</f>
        <v>2019</v>
      </c>
      <c r="J859" s="43" t="str">
        <f>TEXT(tbl_dashboard[[#This Row],[Fecha]],"mmmm")</f>
        <v>Diciembre</v>
      </c>
      <c r="K859" s="43">
        <f>WEEKNUM(tbl_dashboard[[#This Row],[Fecha]],2)</f>
        <v>52</v>
      </c>
    </row>
    <row r="860" spans="2:11" x14ac:dyDescent="0.2">
      <c r="B860" s="75">
        <v>43824</v>
      </c>
      <c r="C860" s="43" t="s">
        <v>186</v>
      </c>
      <c r="D860" s="43" t="s">
        <v>161</v>
      </c>
      <c r="E860" s="43" t="s">
        <v>162</v>
      </c>
      <c r="F860" s="43" t="s">
        <v>169</v>
      </c>
      <c r="G860" s="43">
        <v>1068</v>
      </c>
      <c r="H860" s="43">
        <v>480.6</v>
      </c>
      <c r="I860" s="43">
        <f>YEAR(tbl_dashboard[[#This Row],[Fecha]])</f>
        <v>2019</v>
      </c>
      <c r="J860" s="43" t="str">
        <f>TEXT(tbl_dashboard[[#This Row],[Fecha]],"mmmm")</f>
        <v>Diciembre</v>
      </c>
      <c r="K860" s="43">
        <f>WEEKNUM(tbl_dashboard[[#This Row],[Fecha]],2)</f>
        <v>52</v>
      </c>
    </row>
    <row r="861" spans="2:11" x14ac:dyDescent="0.2">
      <c r="B861" s="75">
        <v>43824</v>
      </c>
      <c r="C861" s="43" t="s">
        <v>187</v>
      </c>
      <c r="D861" s="43" t="s">
        <v>165</v>
      </c>
      <c r="E861" s="43" t="s">
        <v>162</v>
      </c>
      <c r="F861" s="43" t="s">
        <v>169</v>
      </c>
      <c r="G861" s="43">
        <v>9700</v>
      </c>
      <c r="H861" s="43">
        <v>3783</v>
      </c>
      <c r="I861" s="43">
        <f>YEAR(tbl_dashboard[[#This Row],[Fecha]])</f>
        <v>2019</v>
      </c>
      <c r="J861" s="43" t="str">
        <f>TEXT(tbl_dashboard[[#This Row],[Fecha]],"mmmm")</f>
        <v>Diciembre</v>
      </c>
      <c r="K861" s="43">
        <f>WEEKNUM(tbl_dashboard[[#This Row],[Fecha]],2)</f>
        <v>52</v>
      </c>
    </row>
    <row r="862" spans="2:11" x14ac:dyDescent="0.2">
      <c r="B862" s="75">
        <v>43824</v>
      </c>
      <c r="C862" s="43" t="s">
        <v>188</v>
      </c>
      <c r="D862" s="43" t="s">
        <v>161</v>
      </c>
      <c r="E862" s="43" t="s">
        <v>162</v>
      </c>
      <c r="F862" s="43" t="s">
        <v>169</v>
      </c>
      <c r="G862" s="43">
        <v>7292</v>
      </c>
      <c r="H862" s="43">
        <v>1312.56</v>
      </c>
      <c r="I862" s="43">
        <f>YEAR(tbl_dashboard[[#This Row],[Fecha]])</f>
        <v>2019</v>
      </c>
      <c r="J862" s="43" t="str">
        <f>TEXT(tbl_dashboard[[#This Row],[Fecha]],"mmmm")</f>
        <v>Diciembre</v>
      </c>
      <c r="K862" s="43">
        <f>WEEKNUM(tbl_dashboard[[#This Row],[Fecha]],2)</f>
        <v>52</v>
      </c>
    </row>
    <row r="863" spans="2:11" x14ac:dyDescent="0.2">
      <c r="B863" s="75">
        <v>43825</v>
      </c>
      <c r="C863" s="43" t="s">
        <v>170</v>
      </c>
      <c r="D863" s="43" t="s">
        <v>168</v>
      </c>
      <c r="E863" s="43" t="s">
        <v>162</v>
      </c>
      <c r="F863" s="43" t="s">
        <v>163</v>
      </c>
      <c r="G863" s="43">
        <v>1855</v>
      </c>
      <c r="H863" s="43">
        <v>816.2</v>
      </c>
      <c r="I863" s="43">
        <f>YEAR(tbl_dashboard[[#This Row],[Fecha]])</f>
        <v>2019</v>
      </c>
      <c r="J863" s="43" t="str">
        <f>TEXT(tbl_dashboard[[#This Row],[Fecha]],"mmmm")</f>
        <v>Diciembre</v>
      </c>
      <c r="K863" s="43">
        <f>WEEKNUM(tbl_dashboard[[#This Row],[Fecha]],2)</f>
        <v>52</v>
      </c>
    </row>
    <row r="864" spans="2:11" x14ac:dyDescent="0.2">
      <c r="B864" s="75">
        <v>43824</v>
      </c>
      <c r="C864" s="43" t="s">
        <v>171</v>
      </c>
      <c r="D864" s="43" t="s">
        <v>168</v>
      </c>
      <c r="E864" s="43" t="s">
        <v>162</v>
      </c>
      <c r="F864" s="43" t="s">
        <v>169</v>
      </c>
      <c r="G864" s="43">
        <v>6901</v>
      </c>
      <c r="H864" s="43">
        <v>2967.43</v>
      </c>
      <c r="I864" s="43">
        <f>YEAR(tbl_dashboard[[#This Row],[Fecha]])</f>
        <v>2019</v>
      </c>
      <c r="J864" s="43" t="str">
        <f>TEXT(tbl_dashboard[[#This Row],[Fecha]],"mmmm")</f>
        <v>Diciembre</v>
      </c>
      <c r="K864" s="43">
        <f>WEEKNUM(tbl_dashboard[[#This Row],[Fecha]],2)</f>
        <v>52</v>
      </c>
    </row>
    <row r="865" spans="2:11" x14ac:dyDescent="0.2">
      <c r="B865" s="75">
        <v>43824</v>
      </c>
      <c r="C865" s="43" t="s">
        <v>172</v>
      </c>
      <c r="D865" s="43" t="s">
        <v>165</v>
      </c>
      <c r="E865" s="43" t="s">
        <v>166</v>
      </c>
      <c r="F865" s="43" t="s">
        <v>169</v>
      </c>
      <c r="G865" s="43">
        <v>10816</v>
      </c>
      <c r="H865" s="43">
        <v>2163.1999999999998</v>
      </c>
      <c r="I865" s="43">
        <f>YEAR(tbl_dashboard[[#This Row],[Fecha]])</f>
        <v>2019</v>
      </c>
      <c r="J865" s="43" t="str">
        <f>TEXT(tbl_dashboard[[#This Row],[Fecha]],"mmmm")</f>
        <v>Diciembre</v>
      </c>
      <c r="K865" s="43">
        <f>WEEKNUM(tbl_dashboard[[#This Row],[Fecha]],2)</f>
        <v>52</v>
      </c>
    </row>
    <row r="866" spans="2:11" x14ac:dyDescent="0.2">
      <c r="B866" s="75">
        <v>43824</v>
      </c>
      <c r="C866" s="43" t="s">
        <v>173</v>
      </c>
      <c r="D866" s="43" t="s">
        <v>168</v>
      </c>
      <c r="E866" s="43" t="s">
        <v>162</v>
      </c>
      <c r="F866" s="43" t="s">
        <v>169</v>
      </c>
      <c r="G866" s="43">
        <v>6317</v>
      </c>
      <c r="H866" s="43">
        <v>1579.25</v>
      </c>
      <c r="I866" s="43">
        <f>YEAR(tbl_dashboard[[#This Row],[Fecha]])</f>
        <v>2019</v>
      </c>
      <c r="J866" s="43" t="str">
        <f>TEXT(tbl_dashboard[[#This Row],[Fecha]],"mmmm")</f>
        <v>Diciembre</v>
      </c>
      <c r="K866" s="43">
        <f>WEEKNUM(tbl_dashboard[[#This Row],[Fecha]],2)</f>
        <v>52</v>
      </c>
    </row>
    <row r="867" spans="2:11" x14ac:dyDescent="0.2">
      <c r="B867" s="75">
        <v>43824</v>
      </c>
      <c r="C867" s="43" t="s">
        <v>174</v>
      </c>
      <c r="D867" s="43" t="s">
        <v>161</v>
      </c>
      <c r="E867" s="43" t="s">
        <v>162</v>
      </c>
      <c r="F867" s="43" t="s">
        <v>169</v>
      </c>
      <c r="G867" s="43">
        <v>2934</v>
      </c>
      <c r="H867" s="43">
        <v>909.54</v>
      </c>
      <c r="I867" s="43">
        <f>YEAR(tbl_dashboard[[#This Row],[Fecha]])</f>
        <v>2019</v>
      </c>
      <c r="J867" s="43" t="str">
        <f>TEXT(tbl_dashboard[[#This Row],[Fecha]],"mmmm")</f>
        <v>Diciembre</v>
      </c>
      <c r="K867" s="43">
        <f>WEEKNUM(tbl_dashboard[[#This Row],[Fecha]],2)</f>
        <v>52</v>
      </c>
    </row>
    <row r="868" spans="2:11" x14ac:dyDescent="0.2">
      <c r="B868" s="75">
        <v>43823</v>
      </c>
      <c r="C868" s="43" t="s">
        <v>175</v>
      </c>
      <c r="D868" s="43" t="s">
        <v>165</v>
      </c>
      <c r="E868" s="43" t="s">
        <v>162</v>
      </c>
      <c r="F868" s="43" t="s">
        <v>169</v>
      </c>
      <c r="G868" s="43">
        <v>1592</v>
      </c>
      <c r="H868" s="43">
        <v>270.64</v>
      </c>
      <c r="I868" s="43">
        <f>YEAR(tbl_dashboard[[#This Row],[Fecha]])</f>
        <v>2019</v>
      </c>
      <c r="J868" s="43" t="str">
        <f>TEXT(tbl_dashboard[[#This Row],[Fecha]],"mmmm")</f>
        <v>Diciembre</v>
      </c>
      <c r="K868" s="43">
        <f>WEEKNUM(tbl_dashboard[[#This Row],[Fecha]],2)</f>
        <v>52</v>
      </c>
    </row>
    <row r="869" spans="2:11" x14ac:dyDescent="0.2">
      <c r="B869" s="75">
        <v>43829</v>
      </c>
      <c r="C869" s="43" t="s">
        <v>176</v>
      </c>
      <c r="D869" s="43" t="s">
        <v>168</v>
      </c>
      <c r="E869" s="43" t="s">
        <v>166</v>
      </c>
      <c r="F869" s="43" t="s">
        <v>163</v>
      </c>
      <c r="G869" s="43">
        <v>5363</v>
      </c>
      <c r="H869" s="43">
        <v>2413.35</v>
      </c>
      <c r="I869" s="43">
        <f>YEAR(tbl_dashboard[[#This Row],[Fecha]])</f>
        <v>2019</v>
      </c>
      <c r="J869" s="43" t="str">
        <f>TEXT(tbl_dashboard[[#This Row],[Fecha]],"mmmm")</f>
        <v>Diciembre</v>
      </c>
      <c r="K869" s="43">
        <f>WEEKNUM(tbl_dashboard[[#This Row],[Fecha]],2)</f>
        <v>53</v>
      </c>
    </row>
    <row r="870" spans="2:11" x14ac:dyDescent="0.2">
      <c r="B870" s="75">
        <v>43829</v>
      </c>
      <c r="C870" s="43" t="s">
        <v>177</v>
      </c>
      <c r="D870" s="43" t="s">
        <v>165</v>
      </c>
      <c r="E870" s="43" t="s">
        <v>162</v>
      </c>
      <c r="F870" s="43" t="s">
        <v>163</v>
      </c>
      <c r="G870" s="43">
        <v>11622</v>
      </c>
      <c r="H870" s="43">
        <v>3719.04</v>
      </c>
      <c r="I870" s="43">
        <f>YEAR(tbl_dashboard[[#This Row],[Fecha]])</f>
        <v>2019</v>
      </c>
      <c r="J870" s="43" t="str">
        <f>TEXT(tbl_dashboard[[#This Row],[Fecha]],"mmmm")</f>
        <v>Diciembre</v>
      </c>
      <c r="K870" s="43">
        <f>WEEKNUM(tbl_dashboard[[#This Row],[Fecha]],2)</f>
        <v>53</v>
      </c>
    </row>
    <row r="871" spans="2:11" x14ac:dyDescent="0.2">
      <c r="B871" s="75">
        <v>43829</v>
      </c>
      <c r="C871" s="43" t="s">
        <v>178</v>
      </c>
      <c r="D871" s="43" t="s">
        <v>165</v>
      </c>
      <c r="E871" s="43" t="s">
        <v>166</v>
      </c>
      <c r="F871" s="43" t="s">
        <v>169</v>
      </c>
      <c r="G871" s="43">
        <v>11394</v>
      </c>
      <c r="H871" s="43">
        <v>1936.98</v>
      </c>
      <c r="I871" s="43">
        <f>YEAR(tbl_dashboard[[#This Row],[Fecha]])</f>
        <v>2019</v>
      </c>
      <c r="J871" s="43" t="str">
        <f>TEXT(tbl_dashboard[[#This Row],[Fecha]],"mmmm")</f>
        <v>Diciembre</v>
      </c>
      <c r="K871" s="43">
        <f>WEEKNUM(tbl_dashboard[[#This Row],[Fecha]],2)</f>
        <v>53</v>
      </c>
    </row>
    <row r="872" spans="2:11" x14ac:dyDescent="0.2">
      <c r="B872" s="75">
        <v>43829</v>
      </c>
      <c r="C872" s="43" t="s">
        <v>179</v>
      </c>
      <c r="D872" s="43" t="s">
        <v>165</v>
      </c>
      <c r="E872" s="43" t="s">
        <v>166</v>
      </c>
      <c r="F872" s="43" t="s">
        <v>169</v>
      </c>
      <c r="G872" s="43">
        <v>6126</v>
      </c>
      <c r="H872" s="43">
        <v>1041.42</v>
      </c>
      <c r="I872" s="43">
        <f>YEAR(tbl_dashboard[[#This Row],[Fecha]])</f>
        <v>2019</v>
      </c>
      <c r="J872" s="43" t="str">
        <f>TEXT(tbl_dashboard[[#This Row],[Fecha]],"mmmm")</f>
        <v>Diciembre</v>
      </c>
      <c r="K872" s="43">
        <f>WEEKNUM(tbl_dashboard[[#This Row],[Fecha]],2)</f>
        <v>53</v>
      </c>
    </row>
    <row r="873" spans="2:11" x14ac:dyDescent="0.2">
      <c r="B873" s="75">
        <v>43829</v>
      </c>
      <c r="C873" s="43" t="s">
        <v>180</v>
      </c>
      <c r="D873" s="43" t="s">
        <v>161</v>
      </c>
      <c r="E873" s="43" t="s">
        <v>162</v>
      </c>
      <c r="F873" s="43" t="s">
        <v>163</v>
      </c>
      <c r="G873" s="43">
        <v>4058</v>
      </c>
      <c r="H873" s="43">
        <v>771.02</v>
      </c>
      <c r="I873" s="43">
        <f>YEAR(tbl_dashboard[[#This Row],[Fecha]])</f>
        <v>2019</v>
      </c>
      <c r="J873" s="43" t="str">
        <f>TEXT(tbl_dashboard[[#This Row],[Fecha]],"mmmm")</f>
        <v>Diciembre</v>
      </c>
      <c r="K873" s="43">
        <f>WEEKNUM(tbl_dashboard[[#This Row],[Fecha]],2)</f>
        <v>53</v>
      </c>
    </row>
    <row r="874" spans="2:11" x14ac:dyDescent="0.2">
      <c r="B874" s="75">
        <v>43829</v>
      </c>
      <c r="C874" s="43" t="s">
        <v>181</v>
      </c>
      <c r="D874" s="43" t="s">
        <v>168</v>
      </c>
      <c r="E874" s="43" t="s">
        <v>166</v>
      </c>
      <c r="F874" s="43" t="s">
        <v>163</v>
      </c>
      <c r="G874" s="43">
        <v>6605</v>
      </c>
      <c r="H874" s="43">
        <v>1321</v>
      </c>
      <c r="I874" s="43">
        <f>YEAR(tbl_dashboard[[#This Row],[Fecha]])</f>
        <v>2019</v>
      </c>
      <c r="J874" s="43" t="str">
        <f>TEXT(tbl_dashboard[[#This Row],[Fecha]],"mmmm")</f>
        <v>Diciembre</v>
      </c>
      <c r="K874" s="43">
        <f>WEEKNUM(tbl_dashboard[[#This Row],[Fecha]],2)</f>
        <v>53</v>
      </c>
    </row>
    <row r="875" spans="2:11" x14ac:dyDescent="0.2">
      <c r="B875" s="75">
        <v>43829</v>
      </c>
      <c r="C875" s="43" t="s">
        <v>182</v>
      </c>
      <c r="D875" s="43" t="s">
        <v>168</v>
      </c>
      <c r="E875" s="43" t="s">
        <v>166</v>
      </c>
      <c r="F875" s="43" t="s">
        <v>169</v>
      </c>
      <c r="G875" s="43">
        <v>11096</v>
      </c>
      <c r="H875" s="43">
        <v>3217.84</v>
      </c>
      <c r="I875" s="43">
        <f>YEAR(tbl_dashboard[[#This Row],[Fecha]])</f>
        <v>2019</v>
      </c>
      <c r="J875" s="43" t="str">
        <f>TEXT(tbl_dashboard[[#This Row],[Fecha]],"mmmm")</f>
        <v>Diciembre</v>
      </c>
      <c r="K875" s="43">
        <f>WEEKNUM(tbl_dashboard[[#This Row],[Fecha]],2)</f>
        <v>53</v>
      </c>
    </row>
    <row r="876" spans="2:11" x14ac:dyDescent="0.2">
      <c r="B876" s="75">
        <v>43825</v>
      </c>
      <c r="C876" s="43" t="s">
        <v>183</v>
      </c>
      <c r="D876" s="43" t="s">
        <v>168</v>
      </c>
      <c r="E876" s="43" t="s">
        <v>162</v>
      </c>
      <c r="F876" s="43" t="s">
        <v>163</v>
      </c>
      <c r="G876" s="43">
        <v>7492</v>
      </c>
      <c r="H876" s="43">
        <v>2772.04</v>
      </c>
      <c r="I876" s="43">
        <f>YEAR(tbl_dashboard[[#This Row],[Fecha]])</f>
        <v>2019</v>
      </c>
      <c r="J876" s="43" t="str">
        <f>TEXT(tbl_dashboard[[#This Row],[Fecha]],"mmmm")</f>
        <v>Diciembre</v>
      </c>
      <c r="K876" s="43">
        <f>WEEKNUM(tbl_dashboard[[#This Row],[Fecha]],2)</f>
        <v>52</v>
      </c>
    </row>
    <row r="877" spans="2:11" x14ac:dyDescent="0.2">
      <c r="B877" s="75">
        <v>43824</v>
      </c>
      <c r="C877" s="43" t="s">
        <v>184</v>
      </c>
      <c r="D877" s="43" t="s">
        <v>165</v>
      </c>
      <c r="E877" s="43" t="s">
        <v>162</v>
      </c>
      <c r="F877" s="43" t="s">
        <v>169</v>
      </c>
      <c r="G877" s="43">
        <v>9415</v>
      </c>
      <c r="H877" s="43">
        <v>3389.4</v>
      </c>
      <c r="I877" s="43">
        <f>YEAR(tbl_dashboard[[#This Row],[Fecha]])</f>
        <v>2019</v>
      </c>
      <c r="J877" s="43" t="str">
        <f>TEXT(tbl_dashboard[[#This Row],[Fecha]],"mmmm")</f>
        <v>Diciembre</v>
      </c>
      <c r="K877" s="43">
        <f>WEEKNUM(tbl_dashboard[[#This Row],[Fecha]],2)</f>
        <v>52</v>
      </c>
    </row>
    <row r="878" spans="2:11" x14ac:dyDescent="0.2">
      <c r="B878" s="75">
        <v>43824</v>
      </c>
      <c r="C878" s="43" t="s">
        <v>185</v>
      </c>
      <c r="D878" s="43" t="s">
        <v>168</v>
      </c>
      <c r="E878" s="43" t="s">
        <v>166</v>
      </c>
      <c r="F878" s="43" t="s">
        <v>169</v>
      </c>
      <c r="G878" s="43">
        <v>11643</v>
      </c>
      <c r="H878" s="43">
        <v>4657.2</v>
      </c>
      <c r="I878" s="43">
        <f>YEAR(tbl_dashboard[[#This Row],[Fecha]])</f>
        <v>2019</v>
      </c>
      <c r="J878" s="43" t="str">
        <f>TEXT(tbl_dashboard[[#This Row],[Fecha]],"mmmm")</f>
        <v>Diciembre</v>
      </c>
      <c r="K878" s="43">
        <f>WEEKNUM(tbl_dashboard[[#This Row],[Fecha]],2)</f>
        <v>52</v>
      </c>
    </row>
    <row r="879" spans="2:11" x14ac:dyDescent="0.2">
      <c r="B879" s="75">
        <v>43824</v>
      </c>
      <c r="C879" s="43" t="s">
        <v>186</v>
      </c>
      <c r="D879" s="43" t="s">
        <v>161</v>
      </c>
      <c r="E879" s="43" t="s">
        <v>162</v>
      </c>
      <c r="F879" s="43" t="s">
        <v>169</v>
      </c>
      <c r="G879" s="43">
        <v>1068</v>
      </c>
      <c r="H879" s="43">
        <v>480.6</v>
      </c>
      <c r="I879" s="43">
        <f>YEAR(tbl_dashboard[[#This Row],[Fecha]])</f>
        <v>2019</v>
      </c>
      <c r="J879" s="43" t="str">
        <f>TEXT(tbl_dashboard[[#This Row],[Fecha]],"mmmm")</f>
        <v>Diciembre</v>
      </c>
      <c r="K879" s="43">
        <f>WEEKNUM(tbl_dashboard[[#This Row],[Fecha]],2)</f>
        <v>52</v>
      </c>
    </row>
    <row r="880" spans="2:11" x14ac:dyDescent="0.2">
      <c r="B880" s="75">
        <v>43824</v>
      </c>
      <c r="C880" s="43" t="s">
        <v>187</v>
      </c>
      <c r="D880" s="43" t="s">
        <v>165</v>
      </c>
      <c r="E880" s="43" t="s">
        <v>162</v>
      </c>
      <c r="F880" s="43" t="s">
        <v>169</v>
      </c>
      <c r="G880" s="43">
        <v>9700</v>
      </c>
      <c r="H880" s="43">
        <v>3783</v>
      </c>
      <c r="I880" s="43">
        <f>YEAR(tbl_dashboard[[#This Row],[Fecha]])</f>
        <v>2019</v>
      </c>
      <c r="J880" s="43" t="str">
        <f>TEXT(tbl_dashboard[[#This Row],[Fecha]],"mmmm")</f>
        <v>Diciembre</v>
      </c>
      <c r="K880" s="43">
        <f>WEEKNUM(tbl_dashboard[[#This Row],[Fecha]],2)</f>
        <v>52</v>
      </c>
    </row>
    <row r="881" spans="2:11" x14ac:dyDescent="0.2">
      <c r="B881" s="75">
        <v>43824</v>
      </c>
      <c r="C881" s="43" t="s">
        <v>188</v>
      </c>
      <c r="D881" s="43" t="s">
        <v>161</v>
      </c>
      <c r="E881" s="43" t="s">
        <v>162</v>
      </c>
      <c r="F881" s="43" t="s">
        <v>169</v>
      </c>
      <c r="G881" s="43">
        <v>7292</v>
      </c>
      <c r="H881" s="43">
        <v>1312.56</v>
      </c>
      <c r="I881" s="43">
        <f>YEAR(tbl_dashboard[[#This Row],[Fecha]])</f>
        <v>2019</v>
      </c>
      <c r="J881" s="43" t="str">
        <f>TEXT(tbl_dashboard[[#This Row],[Fecha]],"mmmm")</f>
        <v>Diciembre</v>
      </c>
      <c r="K881" s="43">
        <f>WEEKNUM(tbl_dashboard[[#This Row],[Fecha]],2)</f>
        <v>52</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59BD-4E72-439F-AC91-C542BA53CBDC}">
  <sheetPr codeName="Hoja6"/>
  <dimension ref="B2:J99"/>
  <sheetViews>
    <sheetView showGridLines="0" topLeftCell="A19" workbookViewId="0">
      <selection activeCell="C18" sqref="C18"/>
    </sheetView>
  </sheetViews>
  <sheetFormatPr baseColWidth="10" defaultRowHeight="14.4" x14ac:dyDescent="0.3"/>
  <cols>
    <col min="1" max="1" width="4" customWidth="1"/>
    <col min="2" max="2" width="20.44140625" customWidth="1"/>
    <col min="3" max="3" width="13.6640625" customWidth="1"/>
    <col min="4" max="4" width="21.33203125" customWidth="1"/>
    <col min="5" max="5" width="14.109375" customWidth="1"/>
    <col min="6" max="6" width="15.109375" customWidth="1"/>
    <col min="7" max="7" width="18.109375" customWidth="1"/>
    <col min="8" max="8" width="13" customWidth="1"/>
  </cols>
  <sheetData>
    <row r="2" spans="2:10" ht="18" x14ac:dyDescent="0.35">
      <c r="B2" s="142" t="s">
        <v>401</v>
      </c>
    </row>
    <row r="3" spans="2:10" ht="12.75" customHeight="1" x14ac:dyDescent="0.3">
      <c r="B3" s="68"/>
      <c r="C3" s="68"/>
      <c r="D3" s="68"/>
      <c r="E3" s="68"/>
    </row>
    <row r="4" spans="2:10" x14ac:dyDescent="0.3">
      <c r="B4" s="185" t="s">
        <v>402</v>
      </c>
      <c r="C4" s="185"/>
      <c r="D4" s="185"/>
      <c r="E4" s="185"/>
      <c r="G4" s="186" t="s">
        <v>517</v>
      </c>
      <c r="H4" s="187"/>
      <c r="I4" s="187"/>
      <c r="J4" s="188"/>
    </row>
    <row r="5" spans="2:10" x14ac:dyDescent="0.3">
      <c r="B5" s="185"/>
      <c r="C5" s="185"/>
      <c r="D5" s="185"/>
      <c r="E5" s="185"/>
      <c r="G5" s="189"/>
      <c r="H5" s="190"/>
      <c r="I5" s="190"/>
      <c r="J5" s="191"/>
    </row>
    <row r="6" spans="2:10" x14ac:dyDescent="0.3">
      <c r="B6" s="185"/>
      <c r="C6" s="185"/>
      <c r="D6" s="185"/>
      <c r="E6" s="185"/>
      <c r="G6" s="189"/>
      <c r="H6" s="190"/>
      <c r="I6" s="190"/>
      <c r="J6" s="191"/>
    </row>
    <row r="7" spans="2:10" x14ac:dyDescent="0.3">
      <c r="B7" s="185"/>
      <c r="C7" s="185"/>
      <c r="D7" s="185"/>
      <c r="E7" s="185"/>
      <c r="G7" s="192"/>
      <c r="H7" s="193"/>
      <c r="I7" s="193"/>
      <c r="J7" s="194"/>
    </row>
    <row r="8" spans="2:10" x14ac:dyDescent="0.3">
      <c r="B8" s="84" t="s">
        <v>403</v>
      </c>
      <c r="C8" s="85">
        <v>-500000</v>
      </c>
      <c r="D8" s="181" t="s">
        <v>404</v>
      </c>
      <c r="E8" s="181"/>
      <c r="G8" s="84" t="s">
        <v>403</v>
      </c>
      <c r="H8" s="86">
        <f>PV(H9,H10,,H11,0)</f>
        <v>-6716.9542642584129</v>
      </c>
      <c r="I8" s="181" t="s">
        <v>405</v>
      </c>
      <c r="J8" s="181"/>
    </row>
    <row r="9" spans="2:10" x14ac:dyDescent="0.3">
      <c r="B9" s="87" t="s">
        <v>406</v>
      </c>
      <c r="C9" s="88">
        <v>0.03</v>
      </c>
      <c r="D9" s="181"/>
      <c r="E9" s="181"/>
      <c r="G9" s="87" t="s">
        <v>406</v>
      </c>
      <c r="H9" s="88">
        <v>0.06</v>
      </c>
      <c r="I9" s="181"/>
      <c r="J9" s="181"/>
    </row>
    <row r="10" spans="2:10" x14ac:dyDescent="0.3">
      <c r="B10" s="87" t="s">
        <v>407</v>
      </c>
      <c r="C10" s="89">
        <v>5</v>
      </c>
      <c r="D10" s="181"/>
      <c r="E10" s="181"/>
      <c r="G10" s="87" t="s">
        <v>407</v>
      </c>
      <c r="H10" s="89">
        <v>3</v>
      </c>
      <c r="I10" s="181"/>
      <c r="J10" s="181"/>
    </row>
    <row r="11" spans="2:10" x14ac:dyDescent="0.3">
      <c r="B11" s="87" t="s">
        <v>408</v>
      </c>
      <c r="C11" s="90">
        <f>FV(C9,C10,,C8)</f>
        <v>579637.03714999987</v>
      </c>
      <c r="D11" s="181"/>
      <c r="E11" s="181"/>
      <c r="G11" s="87" t="s">
        <v>408</v>
      </c>
      <c r="H11" s="91">
        <v>8000</v>
      </c>
      <c r="I11" s="181"/>
      <c r="J11" s="181"/>
    </row>
    <row r="12" spans="2:10" x14ac:dyDescent="0.3">
      <c r="C12" s="92"/>
      <c r="H12" s="93"/>
    </row>
    <row r="14" spans="2:10" x14ac:dyDescent="0.3">
      <c r="B14" s="186" t="s">
        <v>409</v>
      </c>
      <c r="C14" s="187"/>
      <c r="D14" s="187"/>
      <c r="E14" s="188"/>
      <c r="G14" s="186" t="s">
        <v>410</v>
      </c>
      <c r="H14" s="187"/>
      <c r="I14" s="187"/>
      <c r="J14" s="188"/>
    </row>
    <row r="15" spans="2:10" x14ac:dyDescent="0.3">
      <c r="B15" s="189"/>
      <c r="C15" s="190"/>
      <c r="D15" s="190"/>
      <c r="E15" s="191"/>
      <c r="G15" s="189"/>
      <c r="H15" s="190"/>
      <c r="I15" s="190"/>
      <c r="J15" s="191"/>
    </row>
    <row r="16" spans="2:10" x14ac:dyDescent="0.3">
      <c r="B16" s="189"/>
      <c r="C16" s="190"/>
      <c r="D16" s="190"/>
      <c r="E16" s="191"/>
      <c r="G16" s="189"/>
      <c r="H16" s="190"/>
      <c r="I16" s="190"/>
      <c r="J16" s="191"/>
    </row>
    <row r="17" spans="2:10" x14ac:dyDescent="0.3">
      <c r="B17" s="192"/>
      <c r="C17" s="193"/>
      <c r="D17" s="193"/>
      <c r="E17" s="194"/>
      <c r="G17" s="192"/>
      <c r="H17" s="193"/>
      <c r="I17" s="193"/>
      <c r="J17" s="194"/>
    </row>
    <row r="18" spans="2:10" x14ac:dyDescent="0.3">
      <c r="B18" s="84" t="s">
        <v>403</v>
      </c>
      <c r="C18" s="85">
        <v>-5000</v>
      </c>
      <c r="D18" s="181" t="s">
        <v>411</v>
      </c>
      <c r="E18" s="181"/>
      <c r="G18" s="84" t="s">
        <v>403</v>
      </c>
      <c r="H18" s="85">
        <v>-14000</v>
      </c>
      <c r="I18" s="181" t="s">
        <v>412</v>
      </c>
      <c r="J18" s="181"/>
    </row>
    <row r="19" spans="2:10" x14ac:dyDescent="0.3">
      <c r="B19" s="87" t="s">
        <v>406</v>
      </c>
      <c r="C19" s="94">
        <f>RATE(C20,,C18,C21,0,)</f>
        <v>4.6635139392104868E-2</v>
      </c>
      <c r="D19" s="181"/>
      <c r="E19" s="181"/>
      <c r="G19" s="87" t="s">
        <v>406</v>
      </c>
      <c r="H19" s="95">
        <v>0.08</v>
      </c>
      <c r="I19" s="181"/>
      <c r="J19" s="181"/>
    </row>
    <row r="20" spans="2:10" x14ac:dyDescent="0.3">
      <c r="B20" s="87" t="s">
        <v>407</v>
      </c>
      <c r="C20" s="89">
        <v>4</v>
      </c>
      <c r="D20" s="181"/>
      <c r="E20" s="181"/>
      <c r="G20" s="87" t="s">
        <v>407</v>
      </c>
      <c r="H20" s="96">
        <f>NPER(H19,,H18,H21,0)</f>
        <v>2.5227831065530282</v>
      </c>
      <c r="I20" s="181"/>
      <c r="J20" s="181"/>
    </row>
    <row r="21" spans="2:10" x14ac:dyDescent="0.3">
      <c r="B21" s="87" t="s">
        <v>408</v>
      </c>
      <c r="C21" s="91">
        <v>6000</v>
      </c>
      <c r="D21" s="181"/>
      <c r="E21" s="181"/>
      <c r="G21" s="87" t="s">
        <v>408</v>
      </c>
      <c r="H21" s="91">
        <v>17000</v>
      </c>
      <c r="I21" s="181"/>
      <c r="J21" s="181"/>
    </row>
    <row r="22" spans="2:10" x14ac:dyDescent="0.3">
      <c r="C22" s="97"/>
      <c r="H22" s="98"/>
    </row>
    <row r="23" spans="2:10" x14ac:dyDescent="0.3">
      <c r="B23" s="83" t="s">
        <v>413</v>
      </c>
    </row>
    <row r="25" spans="2:10" x14ac:dyDescent="0.3">
      <c r="B25" s="182" t="s">
        <v>414</v>
      </c>
      <c r="C25" s="182"/>
      <c r="D25" s="182"/>
      <c r="E25" s="182"/>
      <c r="F25" s="182"/>
    </row>
    <row r="26" spans="2:10" x14ac:dyDescent="0.3">
      <c r="B26" s="99"/>
      <c r="C26" s="99"/>
      <c r="D26" s="99"/>
      <c r="E26" s="99"/>
      <c r="F26" s="99"/>
    </row>
    <row r="27" spans="2:10" x14ac:dyDescent="0.3">
      <c r="C27" s="100" t="s">
        <v>415</v>
      </c>
      <c r="D27" s="101" t="s">
        <v>416</v>
      </c>
      <c r="E27" s="99"/>
      <c r="F27" s="99"/>
    </row>
    <row r="28" spans="2:10" x14ac:dyDescent="0.3">
      <c r="B28" s="102" t="s">
        <v>417</v>
      </c>
      <c r="C28" s="103">
        <v>250000</v>
      </c>
      <c r="D28" s="104"/>
      <c r="E28" s="99"/>
      <c r="F28" s="99"/>
    </row>
    <row r="29" spans="2:10" x14ac:dyDescent="0.3">
      <c r="B29" s="102" t="s">
        <v>418</v>
      </c>
      <c r="C29" s="105">
        <v>5</v>
      </c>
      <c r="D29" s="105">
        <v>60</v>
      </c>
      <c r="E29" s="99"/>
      <c r="F29" s="99"/>
    </row>
    <row r="30" spans="2:10" x14ac:dyDescent="0.3">
      <c r="B30" s="102" t="s">
        <v>419</v>
      </c>
      <c r="C30" s="106">
        <f>25.5%</f>
        <v>0.255</v>
      </c>
      <c r="D30" s="107">
        <f>C30/12</f>
        <v>2.1250000000000002E-2</v>
      </c>
      <c r="E30" s="99"/>
      <c r="F30" s="99"/>
    </row>
    <row r="31" spans="2:10" x14ac:dyDescent="0.3">
      <c r="B31" s="99" t="s">
        <v>420</v>
      </c>
      <c r="C31" s="108"/>
      <c r="D31" s="108"/>
      <c r="E31" s="99"/>
      <c r="F31" s="99"/>
    </row>
    <row r="32" spans="2:10" x14ac:dyDescent="0.3">
      <c r="B32" s="109" t="s">
        <v>421</v>
      </c>
      <c r="C32" s="110">
        <f>-PMT(D30,D29,C35)</f>
        <v>7411.2943729271301</v>
      </c>
      <c r="D32" s="111"/>
      <c r="E32" s="183"/>
      <c r="F32" s="183"/>
    </row>
    <row r="33" spans="2:6" x14ac:dyDescent="0.3">
      <c r="B33" s="109" t="s">
        <v>406</v>
      </c>
      <c r="C33" s="107">
        <f>C30/12</f>
        <v>2.1250000000000002E-2</v>
      </c>
      <c r="D33" s="112"/>
      <c r="E33" s="113"/>
      <c r="F33" s="114"/>
    </row>
    <row r="34" spans="2:6" x14ac:dyDescent="0.3">
      <c r="B34" s="109" t="s">
        <v>422</v>
      </c>
      <c r="C34" s="105">
        <v>60</v>
      </c>
      <c r="D34" s="112"/>
      <c r="E34" s="113"/>
      <c r="F34" s="114"/>
    </row>
    <row r="35" spans="2:6" x14ac:dyDescent="0.3">
      <c r="B35" s="109" t="s">
        <v>423</v>
      </c>
      <c r="C35" s="103">
        <v>250000</v>
      </c>
      <c r="D35" s="112"/>
      <c r="E35" s="113"/>
      <c r="F35" s="114"/>
    </row>
    <row r="36" spans="2:6" x14ac:dyDescent="0.3">
      <c r="B36" s="99"/>
      <c r="C36" s="99"/>
      <c r="D36" s="99"/>
      <c r="E36" s="99"/>
      <c r="F36" s="99"/>
    </row>
    <row r="37" spans="2:6" x14ac:dyDescent="0.3">
      <c r="B37" s="184" t="s">
        <v>413</v>
      </c>
      <c r="C37" s="184"/>
      <c r="D37" s="184"/>
      <c r="E37" s="184"/>
      <c r="F37" s="184"/>
    </row>
    <row r="38" spans="2:6" x14ac:dyDescent="0.3">
      <c r="B38" s="115" t="s">
        <v>424</v>
      </c>
      <c r="C38" s="115" t="s">
        <v>425</v>
      </c>
      <c r="D38" s="115" t="s">
        <v>426</v>
      </c>
      <c r="E38" s="115" t="s">
        <v>427</v>
      </c>
      <c r="F38" s="115" t="s">
        <v>428</v>
      </c>
    </row>
    <row r="39" spans="2:6" x14ac:dyDescent="0.3">
      <c r="B39" s="116">
        <v>0</v>
      </c>
      <c r="C39" s="117"/>
      <c r="D39" s="117"/>
      <c r="E39" s="117"/>
      <c r="F39" s="118">
        <f>C35</f>
        <v>250000</v>
      </c>
    </row>
    <row r="40" spans="2:6" x14ac:dyDescent="0.3">
      <c r="B40" s="119">
        <v>1</v>
      </c>
      <c r="C40" s="118">
        <f>$C$32</f>
        <v>7411.2943729271301</v>
      </c>
      <c r="D40" s="120">
        <f>F39-C40</f>
        <v>242588.70562707286</v>
      </c>
      <c r="E40" s="118">
        <f>F39*$C$33</f>
        <v>5312.5</v>
      </c>
      <c r="F40" s="118">
        <f>F39-C40+E40</f>
        <v>247901.20562707286</v>
      </c>
    </row>
    <row r="41" spans="2:6" x14ac:dyDescent="0.3">
      <c r="B41" s="119">
        <v>2</v>
      </c>
      <c r="C41" s="118">
        <f t="shared" ref="C41:C99" si="0">$C$32</f>
        <v>7411.2943729271301</v>
      </c>
      <c r="D41" s="120">
        <f t="shared" ref="D41:D99" si="1">F40-C41</f>
        <v>240489.91125414573</v>
      </c>
      <c r="E41" s="118">
        <f t="shared" ref="E41:E99" si="2">F40*$C$33</f>
        <v>5267.9006195752991</v>
      </c>
      <c r="F41" s="118">
        <f t="shared" ref="F41:F99" si="3">F40-C41+E41</f>
        <v>245757.81187372102</v>
      </c>
    </row>
    <row r="42" spans="2:6" x14ac:dyDescent="0.3">
      <c r="B42" s="119">
        <v>3</v>
      </c>
      <c r="C42" s="118">
        <f t="shared" si="0"/>
        <v>7411.2943729271301</v>
      </c>
      <c r="D42" s="120">
        <f t="shared" si="1"/>
        <v>238346.51750079388</v>
      </c>
      <c r="E42" s="118">
        <f t="shared" si="2"/>
        <v>5222.3535023165723</v>
      </c>
      <c r="F42" s="118">
        <f t="shared" si="3"/>
        <v>243568.87100311046</v>
      </c>
    </row>
    <row r="43" spans="2:6" x14ac:dyDescent="0.3">
      <c r="B43" s="119">
        <v>4</v>
      </c>
      <c r="C43" s="118">
        <f t="shared" si="0"/>
        <v>7411.2943729271301</v>
      </c>
      <c r="D43" s="120">
        <f t="shared" si="1"/>
        <v>236157.57663018332</v>
      </c>
      <c r="E43" s="118">
        <f t="shared" si="2"/>
        <v>5175.8385088160976</v>
      </c>
      <c r="F43" s="118">
        <f t="shared" si="3"/>
        <v>241333.41513899941</v>
      </c>
    </row>
    <row r="44" spans="2:6" x14ac:dyDescent="0.3">
      <c r="B44" s="119">
        <v>5</v>
      </c>
      <c r="C44" s="118">
        <f t="shared" si="0"/>
        <v>7411.2943729271301</v>
      </c>
      <c r="D44" s="120">
        <f t="shared" si="1"/>
        <v>233922.12076607227</v>
      </c>
      <c r="E44" s="118">
        <f t="shared" si="2"/>
        <v>5128.3350717037374</v>
      </c>
      <c r="F44" s="118">
        <f t="shared" si="3"/>
        <v>239050.45583777601</v>
      </c>
    </row>
    <row r="45" spans="2:6" x14ac:dyDescent="0.3">
      <c r="B45" s="119">
        <v>6</v>
      </c>
      <c r="C45" s="118">
        <f t="shared" si="0"/>
        <v>7411.2943729271301</v>
      </c>
      <c r="D45" s="120">
        <f t="shared" si="1"/>
        <v>231639.16146484888</v>
      </c>
      <c r="E45" s="118">
        <f t="shared" si="2"/>
        <v>5079.8221865527403</v>
      </c>
      <c r="F45" s="118">
        <f t="shared" si="3"/>
        <v>236718.98365140162</v>
      </c>
    </row>
    <row r="46" spans="2:6" x14ac:dyDescent="0.3">
      <c r="B46" s="119">
        <v>7</v>
      </c>
      <c r="C46" s="118">
        <f t="shared" si="0"/>
        <v>7411.2943729271301</v>
      </c>
      <c r="D46" s="120">
        <f t="shared" si="1"/>
        <v>229307.68927847449</v>
      </c>
      <c r="E46" s="118">
        <f t="shared" si="2"/>
        <v>5030.2784025922847</v>
      </c>
      <c r="F46" s="118">
        <f t="shared" si="3"/>
        <v>234337.96768106677</v>
      </c>
    </row>
    <row r="47" spans="2:6" x14ac:dyDescent="0.3">
      <c r="B47" s="119">
        <v>8</v>
      </c>
      <c r="C47" s="118">
        <f t="shared" si="0"/>
        <v>7411.2943729271301</v>
      </c>
      <c r="D47" s="120">
        <f t="shared" si="1"/>
        <v>226926.67330813964</v>
      </c>
      <c r="E47" s="118">
        <f t="shared" si="2"/>
        <v>4979.681813222669</v>
      </c>
      <c r="F47" s="118">
        <f t="shared" si="3"/>
        <v>231906.35512136231</v>
      </c>
    </row>
    <row r="48" spans="2:6" x14ac:dyDescent="0.3">
      <c r="B48" s="119">
        <v>9</v>
      </c>
      <c r="C48" s="118">
        <f t="shared" si="0"/>
        <v>7411.2943729271301</v>
      </c>
      <c r="D48" s="120">
        <f t="shared" si="1"/>
        <v>224495.06074843518</v>
      </c>
      <c r="E48" s="118">
        <f t="shared" si="2"/>
        <v>4928.0100463289491</v>
      </c>
      <c r="F48" s="118">
        <f t="shared" si="3"/>
        <v>229423.07079476412</v>
      </c>
    </row>
    <row r="49" spans="2:6" x14ac:dyDescent="0.3">
      <c r="B49" s="119">
        <v>10</v>
      </c>
      <c r="C49" s="118">
        <f t="shared" si="0"/>
        <v>7411.2943729271301</v>
      </c>
      <c r="D49" s="120">
        <f t="shared" si="1"/>
        <v>222011.77642183698</v>
      </c>
      <c r="E49" s="118">
        <f t="shared" si="2"/>
        <v>4875.2402543887383</v>
      </c>
      <c r="F49" s="118">
        <f t="shared" si="3"/>
        <v>226887.01667622573</v>
      </c>
    </row>
    <row r="50" spans="2:6" x14ac:dyDescent="0.3">
      <c r="B50" s="119">
        <v>11</v>
      </c>
      <c r="C50" s="118">
        <f t="shared" si="0"/>
        <v>7411.2943729271301</v>
      </c>
      <c r="D50" s="120">
        <f t="shared" si="1"/>
        <v>219475.72230329859</v>
      </c>
      <c r="E50" s="118">
        <f t="shared" si="2"/>
        <v>4821.3491043697968</v>
      </c>
      <c r="F50" s="118">
        <f t="shared" si="3"/>
        <v>224297.07140766838</v>
      </c>
    </row>
    <row r="51" spans="2:6" x14ac:dyDescent="0.3">
      <c r="B51" s="119">
        <v>12</v>
      </c>
      <c r="C51" s="118">
        <f t="shared" si="0"/>
        <v>7411.2943729271301</v>
      </c>
      <c r="D51" s="120">
        <f t="shared" si="1"/>
        <v>216885.77703474124</v>
      </c>
      <c r="E51" s="118">
        <f t="shared" si="2"/>
        <v>4766.3127674129537</v>
      </c>
      <c r="F51" s="118">
        <f t="shared" si="3"/>
        <v>221652.08980215419</v>
      </c>
    </row>
    <row r="52" spans="2:6" x14ac:dyDescent="0.3">
      <c r="B52" s="119">
        <v>13</v>
      </c>
      <c r="C52" s="118">
        <f t="shared" si="0"/>
        <v>7411.2943729271301</v>
      </c>
      <c r="D52" s="120">
        <f t="shared" si="1"/>
        <v>214240.79542922706</v>
      </c>
      <c r="E52" s="118">
        <f t="shared" si="2"/>
        <v>4710.1069082957765</v>
      </c>
      <c r="F52" s="118">
        <f t="shared" si="3"/>
        <v>218950.90233752283</v>
      </c>
    </row>
    <row r="53" spans="2:6" x14ac:dyDescent="0.3">
      <c r="B53" s="119">
        <v>14</v>
      </c>
      <c r="C53" s="118">
        <f t="shared" si="0"/>
        <v>7411.2943729271301</v>
      </c>
      <c r="D53" s="120">
        <f t="shared" si="1"/>
        <v>211539.60796459569</v>
      </c>
      <c r="E53" s="118">
        <f t="shared" si="2"/>
        <v>4652.7066746723604</v>
      </c>
      <c r="F53" s="118">
        <f t="shared" si="3"/>
        <v>216192.31463926806</v>
      </c>
    </row>
    <row r="54" spans="2:6" x14ac:dyDescent="0.3">
      <c r="B54" s="119">
        <v>15</v>
      </c>
      <c r="C54" s="118">
        <f t="shared" si="0"/>
        <v>7411.2943729271301</v>
      </c>
      <c r="D54" s="120">
        <f t="shared" si="1"/>
        <v>208781.02026634093</v>
      </c>
      <c r="E54" s="118">
        <f t="shared" si="2"/>
        <v>4594.0866860844471</v>
      </c>
      <c r="F54" s="118">
        <f t="shared" si="3"/>
        <v>213375.10695242538</v>
      </c>
    </row>
    <row r="55" spans="2:6" x14ac:dyDescent="0.3">
      <c r="B55" s="119">
        <v>16</v>
      </c>
      <c r="C55" s="118">
        <f t="shared" si="0"/>
        <v>7411.2943729271301</v>
      </c>
      <c r="D55" s="120">
        <f t="shared" si="1"/>
        <v>205963.81257949825</v>
      </c>
      <c r="E55" s="118">
        <f t="shared" si="2"/>
        <v>4534.2210227390397</v>
      </c>
      <c r="F55" s="118">
        <f t="shared" si="3"/>
        <v>210498.03360223729</v>
      </c>
    </row>
    <row r="56" spans="2:6" x14ac:dyDescent="0.3">
      <c r="B56" s="119">
        <v>17</v>
      </c>
      <c r="C56" s="118">
        <f t="shared" si="0"/>
        <v>7411.2943729271301</v>
      </c>
      <c r="D56" s="120">
        <f t="shared" si="1"/>
        <v>203086.73922931016</v>
      </c>
      <c r="E56" s="118">
        <f t="shared" si="2"/>
        <v>4473.0832140475432</v>
      </c>
      <c r="F56" s="118">
        <f t="shared" si="3"/>
        <v>207559.8224433577</v>
      </c>
    </row>
    <row r="57" spans="2:6" x14ac:dyDescent="0.3">
      <c r="B57" s="119">
        <v>18</v>
      </c>
      <c r="C57" s="118">
        <f t="shared" si="0"/>
        <v>7411.2943729271301</v>
      </c>
      <c r="D57" s="120">
        <f t="shared" si="1"/>
        <v>200148.52807043056</v>
      </c>
      <c r="E57" s="118">
        <f t="shared" si="2"/>
        <v>4410.6462269213516</v>
      </c>
      <c r="F57" s="118">
        <f t="shared" si="3"/>
        <v>204559.17429735191</v>
      </c>
    </row>
    <row r="58" spans="2:6" x14ac:dyDescent="0.3">
      <c r="B58" s="119">
        <v>19</v>
      </c>
      <c r="C58" s="118">
        <f t="shared" si="0"/>
        <v>7411.2943729271301</v>
      </c>
      <c r="D58" s="120">
        <f t="shared" si="1"/>
        <v>197147.87992442478</v>
      </c>
      <c r="E58" s="118">
        <f t="shared" si="2"/>
        <v>4346.8824538187282</v>
      </c>
      <c r="F58" s="118">
        <f t="shared" si="3"/>
        <v>201494.7623782435</v>
      </c>
    </row>
    <row r="59" spans="2:6" x14ac:dyDescent="0.3">
      <c r="B59" s="119">
        <v>20</v>
      </c>
      <c r="C59" s="118">
        <f t="shared" si="0"/>
        <v>7411.2943729271301</v>
      </c>
      <c r="D59" s="120">
        <f t="shared" si="1"/>
        <v>194083.46800531636</v>
      </c>
      <c r="E59" s="118">
        <f t="shared" si="2"/>
        <v>4281.7637005376746</v>
      </c>
      <c r="F59" s="118">
        <f t="shared" si="3"/>
        <v>198365.23170585404</v>
      </c>
    </row>
    <row r="60" spans="2:6" x14ac:dyDescent="0.3">
      <c r="B60" s="119">
        <v>21</v>
      </c>
      <c r="C60" s="118">
        <f t="shared" si="0"/>
        <v>7411.2943729271301</v>
      </c>
      <c r="D60" s="120">
        <f t="shared" si="1"/>
        <v>190953.9373329269</v>
      </c>
      <c r="E60" s="118">
        <f t="shared" si="2"/>
        <v>4215.2611737493989</v>
      </c>
      <c r="F60" s="118">
        <f t="shared" si="3"/>
        <v>195169.1985066763</v>
      </c>
    </row>
    <row r="61" spans="2:6" x14ac:dyDescent="0.3">
      <c r="B61" s="119">
        <v>22</v>
      </c>
      <c r="C61" s="118">
        <f t="shared" si="0"/>
        <v>7411.2943729271301</v>
      </c>
      <c r="D61" s="120">
        <f t="shared" si="1"/>
        <v>187757.90413374917</v>
      </c>
      <c r="E61" s="118">
        <f t="shared" si="2"/>
        <v>4147.3454682668716</v>
      </c>
      <c r="F61" s="118">
        <f t="shared" si="3"/>
        <v>191905.24960201603</v>
      </c>
    </row>
    <row r="62" spans="2:6" x14ac:dyDescent="0.3">
      <c r="B62" s="119">
        <v>23</v>
      </c>
      <c r="C62" s="118">
        <f t="shared" si="0"/>
        <v>7411.2943729271301</v>
      </c>
      <c r="D62" s="120">
        <f t="shared" si="1"/>
        <v>184493.9552290889</v>
      </c>
      <c r="E62" s="118">
        <f t="shared" si="2"/>
        <v>4077.9865540428409</v>
      </c>
      <c r="F62" s="118">
        <f t="shared" si="3"/>
        <v>188571.94178313174</v>
      </c>
    </row>
    <row r="63" spans="2:6" x14ac:dyDescent="0.3">
      <c r="B63" s="119">
        <v>24</v>
      </c>
      <c r="C63" s="118">
        <f t="shared" si="0"/>
        <v>7411.2943729271301</v>
      </c>
      <c r="D63" s="120">
        <f t="shared" si="1"/>
        <v>181160.6474102046</v>
      </c>
      <c r="E63" s="118">
        <f t="shared" si="2"/>
        <v>4007.1537628915498</v>
      </c>
      <c r="F63" s="118">
        <f t="shared" si="3"/>
        <v>185167.80117309614</v>
      </c>
    </row>
    <row r="64" spans="2:6" x14ac:dyDescent="0.3">
      <c r="B64" s="119">
        <v>25</v>
      </c>
      <c r="C64" s="118">
        <f t="shared" si="0"/>
        <v>7411.2943729271301</v>
      </c>
      <c r="D64" s="120">
        <f t="shared" si="1"/>
        <v>177756.50680016901</v>
      </c>
      <c r="E64" s="118">
        <f t="shared" si="2"/>
        <v>3934.8157749282932</v>
      </c>
      <c r="F64" s="118">
        <f t="shared" si="3"/>
        <v>181691.32257509729</v>
      </c>
    </row>
    <row r="65" spans="2:6" x14ac:dyDescent="0.3">
      <c r="B65" s="119">
        <v>26</v>
      </c>
      <c r="C65" s="118">
        <f t="shared" si="0"/>
        <v>7411.2943729271301</v>
      </c>
      <c r="D65" s="120">
        <f t="shared" si="1"/>
        <v>174280.02820217016</v>
      </c>
      <c r="E65" s="118">
        <f t="shared" si="2"/>
        <v>3860.9406047208176</v>
      </c>
      <c r="F65" s="118">
        <f t="shared" si="3"/>
        <v>178140.96880689097</v>
      </c>
    </row>
    <row r="66" spans="2:6" x14ac:dyDescent="0.3">
      <c r="B66" s="119">
        <v>27</v>
      </c>
      <c r="C66" s="118">
        <f t="shared" si="0"/>
        <v>7411.2943729271301</v>
      </c>
      <c r="D66" s="120">
        <f t="shared" si="1"/>
        <v>170729.67443396384</v>
      </c>
      <c r="E66" s="118">
        <f t="shared" si="2"/>
        <v>3785.4955871464335</v>
      </c>
      <c r="F66" s="118">
        <f t="shared" si="3"/>
        <v>174515.17002111027</v>
      </c>
    </row>
    <row r="67" spans="2:6" x14ac:dyDescent="0.3">
      <c r="B67" s="119">
        <v>28</v>
      </c>
      <c r="C67" s="118">
        <f t="shared" si="0"/>
        <v>7411.2943729271301</v>
      </c>
      <c r="D67" s="120">
        <f t="shared" si="1"/>
        <v>167103.87564818314</v>
      </c>
      <c r="E67" s="118">
        <f t="shared" si="2"/>
        <v>3708.4473629485938</v>
      </c>
      <c r="F67" s="118">
        <f t="shared" si="3"/>
        <v>170812.32301113172</v>
      </c>
    </row>
    <row r="68" spans="2:6" x14ac:dyDescent="0.3">
      <c r="B68" s="119">
        <v>29</v>
      </c>
      <c r="C68" s="118">
        <f t="shared" si="0"/>
        <v>7411.2943729271301</v>
      </c>
      <c r="D68" s="120">
        <f t="shared" si="1"/>
        <v>163401.02863820459</v>
      </c>
      <c r="E68" s="118">
        <f t="shared" si="2"/>
        <v>3629.7618639865495</v>
      </c>
      <c r="F68" s="118">
        <f t="shared" si="3"/>
        <v>167030.79050219114</v>
      </c>
    </row>
    <row r="69" spans="2:6" x14ac:dyDescent="0.3">
      <c r="B69" s="119">
        <v>30</v>
      </c>
      <c r="C69" s="118">
        <f t="shared" si="0"/>
        <v>7411.2943729271301</v>
      </c>
      <c r="D69" s="120">
        <f t="shared" si="1"/>
        <v>159619.49612926401</v>
      </c>
      <c r="E69" s="118">
        <f t="shared" si="2"/>
        <v>3549.404298171562</v>
      </c>
      <c r="F69" s="118">
        <f t="shared" si="3"/>
        <v>163168.90042743558</v>
      </c>
    </row>
    <row r="70" spans="2:6" x14ac:dyDescent="0.3">
      <c r="B70" s="119">
        <v>31</v>
      </c>
      <c r="C70" s="118">
        <f t="shared" si="0"/>
        <v>7411.2943729271301</v>
      </c>
      <c r="D70" s="120">
        <f t="shared" si="1"/>
        <v>155757.60605450845</v>
      </c>
      <c r="E70" s="118">
        <f t="shared" si="2"/>
        <v>3467.3391340830062</v>
      </c>
      <c r="F70" s="118">
        <f t="shared" si="3"/>
        <v>159224.94518859146</v>
      </c>
    </row>
    <row r="71" spans="2:6" x14ac:dyDescent="0.3">
      <c r="B71" s="119">
        <v>32</v>
      </c>
      <c r="C71" s="118">
        <f t="shared" si="0"/>
        <v>7411.2943729271301</v>
      </c>
      <c r="D71" s="120">
        <f t="shared" si="1"/>
        <v>151813.65081566432</v>
      </c>
      <c r="E71" s="118">
        <f t="shared" si="2"/>
        <v>3383.5300852575688</v>
      </c>
      <c r="F71" s="118">
        <f t="shared" si="3"/>
        <v>155197.1809009219</v>
      </c>
    </row>
    <row r="72" spans="2:6" x14ac:dyDescent="0.3">
      <c r="B72" s="119">
        <v>33</v>
      </c>
      <c r="C72" s="118">
        <f t="shared" si="0"/>
        <v>7411.2943729271301</v>
      </c>
      <c r="D72" s="120">
        <f t="shared" si="1"/>
        <v>147785.88652799476</v>
      </c>
      <c r="E72" s="118">
        <f t="shared" si="2"/>
        <v>3297.9400941445906</v>
      </c>
      <c r="F72" s="118">
        <f t="shared" si="3"/>
        <v>151083.82662213934</v>
      </c>
    </row>
    <row r="73" spans="2:6" x14ac:dyDescent="0.3">
      <c r="B73" s="119">
        <v>34</v>
      </c>
      <c r="C73" s="118">
        <f t="shared" si="0"/>
        <v>7411.2943729271301</v>
      </c>
      <c r="D73" s="120">
        <f t="shared" si="1"/>
        <v>143672.53224921221</v>
      </c>
      <c r="E73" s="118">
        <f t="shared" si="2"/>
        <v>3210.5313157204614</v>
      </c>
      <c r="F73" s="118">
        <f t="shared" si="3"/>
        <v>146883.06356493267</v>
      </c>
    </row>
    <row r="74" spans="2:6" x14ac:dyDescent="0.3">
      <c r="B74" s="119">
        <v>35</v>
      </c>
      <c r="C74" s="118">
        <f t="shared" si="0"/>
        <v>7411.2943729271301</v>
      </c>
      <c r="D74" s="120">
        <f t="shared" si="1"/>
        <v>139471.76919200554</v>
      </c>
      <c r="E74" s="118">
        <f t="shared" si="2"/>
        <v>3121.2651007548193</v>
      </c>
      <c r="F74" s="118">
        <f t="shared" si="3"/>
        <v>142593.03429276036</v>
      </c>
    </row>
    <row r="75" spans="2:6" x14ac:dyDescent="0.3">
      <c r="B75" s="119">
        <v>36</v>
      </c>
      <c r="C75" s="118">
        <f t="shared" si="0"/>
        <v>7411.2943729271301</v>
      </c>
      <c r="D75" s="120">
        <f t="shared" si="1"/>
        <v>135181.73991983323</v>
      </c>
      <c r="E75" s="118">
        <f t="shared" si="2"/>
        <v>3030.101978721158</v>
      </c>
      <c r="F75" s="118">
        <f t="shared" si="3"/>
        <v>138211.84189855438</v>
      </c>
    </row>
    <row r="76" spans="2:6" x14ac:dyDescent="0.3">
      <c r="B76" s="119">
        <v>37</v>
      </c>
      <c r="C76" s="118">
        <f t="shared" si="0"/>
        <v>7411.2943729271301</v>
      </c>
      <c r="D76" s="120">
        <f t="shared" si="1"/>
        <v>130800.54752562725</v>
      </c>
      <c r="E76" s="118">
        <f t="shared" si="2"/>
        <v>2937.001640344281</v>
      </c>
      <c r="F76" s="118">
        <f t="shared" si="3"/>
        <v>133737.54916597152</v>
      </c>
    </row>
    <row r="77" spans="2:6" x14ac:dyDescent="0.3">
      <c r="B77" s="119">
        <v>38</v>
      </c>
      <c r="C77" s="118">
        <f t="shared" si="0"/>
        <v>7411.2943729271301</v>
      </c>
      <c r="D77" s="120">
        <f t="shared" si="1"/>
        <v>126326.25479304438</v>
      </c>
      <c r="E77" s="118">
        <f t="shared" si="2"/>
        <v>2841.922919776895</v>
      </c>
      <c r="F77" s="118">
        <f t="shared" si="3"/>
        <v>129168.17771282129</v>
      </c>
    </row>
    <row r="78" spans="2:6" x14ac:dyDescent="0.3">
      <c r="B78" s="119">
        <v>39</v>
      </c>
      <c r="C78" s="118">
        <f t="shared" si="0"/>
        <v>7411.2943729271301</v>
      </c>
      <c r="D78" s="120">
        <f t="shared" si="1"/>
        <v>121756.88333989415</v>
      </c>
      <c r="E78" s="118">
        <f t="shared" si="2"/>
        <v>2744.8237763974525</v>
      </c>
      <c r="F78" s="118">
        <f t="shared" si="3"/>
        <v>124501.7071162916</v>
      </c>
    </row>
    <row r="79" spans="2:6" x14ac:dyDescent="0.3">
      <c r="B79" s="119">
        <v>40</v>
      </c>
      <c r="C79" s="118">
        <f t="shared" si="0"/>
        <v>7411.2943729271301</v>
      </c>
      <c r="D79" s="120">
        <f t="shared" si="1"/>
        <v>117090.41274336446</v>
      </c>
      <c r="E79" s="118">
        <f t="shared" si="2"/>
        <v>2645.6612762211967</v>
      </c>
      <c r="F79" s="118">
        <f t="shared" si="3"/>
        <v>119736.07401958566</v>
      </c>
    </row>
    <row r="80" spans="2:6" x14ac:dyDescent="0.3">
      <c r="B80" s="119">
        <v>41</v>
      </c>
      <c r="C80" s="118">
        <f t="shared" si="0"/>
        <v>7411.2943729271301</v>
      </c>
      <c r="D80" s="120">
        <f t="shared" si="1"/>
        <v>112324.77964665853</v>
      </c>
      <c r="E80" s="118">
        <f t="shared" si="2"/>
        <v>2544.3915729161954</v>
      </c>
      <c r="F80" s="118">
        <f t="shared" si="3"/>
        <v>114869.17121957472</v>
      </c>
    </row>
    <row r="81" spans="2:6" x14ac:dyDescent="0.3">
      <c r="B81" s="119">
        <v>42</v>
      </c>
      <c r="C81" s="118">
        <f t="shared" si="0"/>
        <v>7411.2943729271301</v>
      </c>
      <c r="D81" s="120">
        <f t="shared" si="1"/>
        <v>107457.87684664759</v>
      </c>
      <c r="E81" s="118">
        <f t="shared" si="2"/>
        <v>2440.9698884159629</v>
      </c>
      <c r="F81" s="118">
        <f t="shared" si="3"/>
        <v>109898.84673506355</v>
      </c>
    </row>
    <row r="82" spans="2:6" x14ac:dyDescent="0.3">
      <c r="B82" s="119">
        <v>43</v>
      </c>
      <c r="C82" s="118">
        <f t="shared" si="0"/>
        <v>7411.2943729271301</v>
      </c>
      <c r="D82" s="120">
        <f t="shared" si="1"/>
        <v>102487.55236213641</v>
      </c>
      <c r="E82" s="118">
        <f t="shared" si="2"/>
        <v>2335.3504931201005</v>
      </c>
      <c r="F82" s="118">
        <f t="shared" si="3"/>
        <v>104822.90285525651</v>
      </c>
    </row>
    <row r="83" spans="2:6" x14ac:dyDescent="0.3">
      <c r="B83" s="119">
        <v>44</v>
      </c>
      <c r="C83" s="118">
        <f t="shared" si="0"/>
        <v>7411.2943729271301</v>
      </c>
      <c r="D83" s="120">
        <f t="shared" si="1"/>
        <v>97411.608482329379</v>
      </c>
      <c r="E83" s="118">
        <f t="shared" si="2"/>
        <v>2227.486685674201</v>
      </c>
      <c r="F83" s="118">
        <f t="shared" si="3"/>
        <v>99639.09516800358</v>
      </c>
    </row>
    <row r="84" spans="2:6" x14ac:dyDescent="0.3">
      <c r="B84" s="119">
        <v>45</v>
      </c>
      <c r="C84" s="118">
        <f t="shared" si="0"/>
        <v>7411.2943729271301</v>
      </c>
      <c r="D84" s="120">
        <f t="shared" si="1"/>
        <v>92227.800795076444</v>
      </c>
      <c r="E84" s="118">
        <f t="shared" si="2"/>
        <v>2117.330772320076</v>
      </c>
      <c r="F84" s="118">
        <f t="shared" si="3"/>
        <v>94345.131567396515</v>
      </c>
    </row>
    <row r="85" spans="2:6" x14ac:dyDescent="0.3">
      <c r="B85" s="119">
        <v>46</v>
      </c>
      <c r="C85" s="118">
        <f t="shared" si="0"/>
        <v>7411.2943729271301</v>
      </c>
      <c r="D85" s="120">
        <f t="shared" si="1"/>
        <v>86933.837194469379</v>
      </c>
      <c r="E85" s="118">
        <f t="shared" si="2"/>
        <v>2004.8340458071762</v>
      </c>
      <c r="F85" s="118">
        <f t="shared" si="3"/>
        <v>88938.671240276555</v>
      </c>
    </row>
    <row r="86" spans="2:6" x14ac:dyDescent="0.3">
      <c r="B86" s="119">
        <v>47</v>
      </c>
      <c r="C86" s="118">
        <f t="shared" si="0"/>
        <v>7411.2943729271301</v>
      </c>
      <c r="D86" s="120">
        <f t="shared" si="1"/>
        <v>81527.37686734942</v>
      </c>
      <c r="E86" s="118">
        <f t="shared" si="2"/>
        <v>1889.946763855877</v>
      </c>
      <c r="F86" s="118">
        <f t="shared" si="3"/>
        <v>83417.32363120529</v>
      </c>
    </row>
    <row r="87" spans="2:6" x14ac:dyDescent="0.3">
      <c r="B87" s="119">
        <v>48</v>
      </c>
      <c r="C87" s="118">
        <f t="shared" si="0"/>
        <v>7411.2943729271301</v>
      </c>
      <c r="D87" s="120">
        <f t="shared" si="1"/>
        <v>76006.029258278155</v>
      </c>
      <c r="E87" s="118">
        <f t="shared" si="2"/>
        <v>1772.6181271631126</v>
      </c>
      <c r="F87" s="118">
        <f t="shared" si="3"/>
        <v>77778.647385441262</v>
      </c>
    </row>
    <row r="88" spans="2:6" x14ac:dyDescent="0.3">
      <c r="B88" s="119">
        <v>49</v>
      </c>
      <c r="C88" s="118">
        <f t="shared" si="0"/>
        <v>7411.2943729271301</v>
      </c>
      <c r="D88" s="120">
        <f t="shared" si="1"/>
        <v>70367.353012514126</v>
      </c>
      <c r="E88" s="118">
        <f t="shared" si="2"/>
        <v>1652.796256940627</v>
      </c>
      <c r="F88" s="118">
        <f t="shared" si="3"/>
        <v>72020.149269454749</v>
      </c>
    </row>
    <row r="89" spans="2:6" x14ac:dyDescent="0.3">
      <c r="B89" s="119">
        <v>50</v>
      </c>
      <c r="C89" s="118">
        <f t="shared" si="0"/>
        <v>7411.2943729271301</v>
      </c>
      <c r="D89" s="120">
        <f t="shared" si="1"/>
        <v>64608.85489652762</v>
      </c>
      <c r="E89" s="118">
        <f t="shared" si="2"/>
        <v>1530.4281719759135</v>
      </c>
      <c r="F89" s="118">
        <f t="shared" si="3"/>
        <v>66139.28306850353</v>
      </c>
    </row>
    <row r="90" spans="2:6" x14ac:dyDescent="0.3">
      <c r="B90" s="119">
        <v>51</v>
      </c>
      <c r="C90" s="118">
        <f t="shared" si="0"/>
        <v>7411.2943729271301</v>
      </c>
      <c r="D90" s="120">
        <f t="shared" si="1"/>
        <v>58727.988695576401</v>
      </c>
      <c r="E90" s="118">
        <f t="shared" si="2"/>
        <v>1405.4597652057</v>
      </c>
      <c r="F90" s="118">
        <f t="shared" si="3"/>
        <v>60133.4484607821</v>
      </c>
    </row>
    <row r="91" spans="2:6" x14ac:dyDescent="0.3">
      <c r="B91" s="119">
        <v>52</v>
      </c>
      <c r="C91" s="118">
        <f t="shared" si="0"/>
        <v>7411.2943729271301</v>
      </c>
      <c r="D91" s="120">
        <f t="shared" si="1"/>
        <v>52722.154087854971</v>
      </c>
      <c r="E91" s="118">
        <f t="shared" si="2"/>
        <v>1277.8357797916196</v>
      </c>
      <c r="F91" s="118">
        <f t="shared" si="3"/>
        <v>53999.989867646589</v>
      </c>
    </row>
    <row r="92" spans="2:6" x14ac:dyDescent="0.3">
      <c r="B92" s="119">
        <v>53</v>
      </c>
      <c r="C92" s="118">
        <f t="shared" si="0"/>
        <v>7411.2943729271301</v>
      </c>
      <c r="D92" s="120">
        <f t="shared" si="1"/>
        <v>46588.695494719461</v>
      </c>
      <c r="E92" s="118">
        <f t="shared" si="2"/>
        <v>1147.4997846874901</v>
      </c>
      <c r="F92" s="118">
        <f t="shared" si="3"/>
        <v>47736.195279406951</v>
      </c>
    </row>
    <row r="93" spans="2:6" x14ac:dyDescent="0.3">
      <c r="B93" s="119">
        <v>54</v>
      </c>
      <c r="C93" s="118">
        <f t="shared" si="0"/>
        <v>7411.2943729271301</v>
      </c>
      <c r="D93" s="120">
        <f t="shared" si="1"/>
        <v>40324.900906479823</v>
      </c>
      <c r="E93" s="118">
        <f t="shared" si="2"/>
        <v>1014.3941496873978</v>
      </c>
      <c r="F93" s="118">
        <f t="shared" si="3"/>
        <v>41339.295056167219</v>
      </c>
    </row>
    <row r="94" spans="2:6" x14ac:dyDescent="0.3">
      <c r="B94" s="119">
        <v>55</v>
      </c>
      <c r="C94" s="118">
        <f t="shared" si="0"/>
        <v>7411.2943729271301</v>
      </c>
      <c r="D94" s="120">
        <f t="shared" si="1"/>
        <v>33928.00068324009</v>
      </c>
      <c r="E94" s="118">
        <f t="shared" si="2"/>
        <v>878.46001994355345</v>
      </c>
      <c r="F94" s="118">
        <f t="shared" si="3"/>
        <v>34806.460703183642</v>
      </c>
    </row>
    <row r="95" spans="2:6" x14ac:dyDescent="0.3">
      <c r="B95" s="119">
        <v>56</v>
      </c>
      <c r="C95" s="118">
        <f t="shared" si="0"/>
        <v>7411.2943729271301</v>
      </c>
      <c r="D95" s="120">
        <f t="shared" si="1"/>
        <v>27395.166330256514</v>
      </c>
      <c r="E95" s="118">
        <f t="shared" si="2"/>
        <v>739.6372899426525</v>
      </c>
      <c r="F95" s="118">
        <f t="shared" si="3"/>
        <v>28134.803620199167</v>
      </c>
    </row>
    <row r="96" spans="2:6" x14ac:dyDescent="0.3">
      <c r="B96" s="119">
        <v>57</v>
      </c>
      <c r="C96" s="118">
        <f t="shared" si="0"/>
        <v>7411.2943729271301</v>
      </c>
      <c r="D96" s="120">
        <f t="shared" si="1"/>
        <v>20723.509247272035</v>
      </c>
      <c r="E96" s="118">
        <f t="shared" si="2"/>
        <v>597.86457692923238</v>
      </c>
      <c r="F96" s="118">
        <f t="shared" si="3"/>
        <v>21321.373824201266</v>
      </c>
    </row>
    <row r="97" spans="2:6" x14ac:dyDescent="0.3">
      <c r="B97" s="119">
        <v>58</v>
      </c>
      <c r="C97" s="118">
        <f t="shared" si="0"/>
        <v>7411.2943729271301</v>
      </c>
      <c r="D97" s="120">
        <f t="shared" si="1"/>
        <v>13910.079451274136</v>
      </c>
      <c r="E97" s="118">
        <f t="shared" si="2"/>
        <v>453.07919376427691</v>
      </c>
      <c r="F97" s="118">
        <f t="shared" si="3"/>
        <v>14363.158645038413</v>
      </c>
    </row>
    <row r="98" spans="2:6" x14ac:dyDescent="0.3">
      <c r="B98" s="119">
        <v>59</v>
      </c>
      <c r="C98" s="118">
        <f t="shared" si="0"/>
        <v>7411.2943729271301</v>
      </c>
      <c r="D98" s="120">
        <f t="shared" si="1"/>
        <v>6951.8642721112828</v>
      </c>
      <c r="E98" s="118">
        <f t="shared" si="2"/>
        <v>305.21712120706627</v>
      </c>
      <c r="F98" s="118">
        <f t="shared" si="3"/>
        <v>7257.081393318349</v>
      </c>
    </row>
    <row r="99" spans="2:6" x14ac:dyDescent="0.3">
      <c r="B99" s="119">
        <v>60</v>
      </c>
      <c r="C99" s="118">
        <f t="shared" si="0"/>
        <v>7411.2943729271301</v>
      </c>
      <c r="D99" s="120">
        <f t="shared" si="1"/>
        <v>-154.2129796087811</v>
      </c>
      <c r="E99" s="118">
        <f t="shared" si="2"/>
        <v>154.21297960801493</v>
      </c>
      <c r="F99" s="118">
        <f t="shared" si="3"/>
        <v>-7.6616402111540083E-10</v>
      </c>
    </row>
  </sheetData>
  <mergeCells count="11">
    <mergeCell ref="B4:E7"/>
    <mergeCell ref="G4:J7"/>
    <mergeCell ref="D8:E11"/>
    <mergeCell ref="I8:J11"/>
    <mergeCell ref="B14:E17"/>
    <mergeCell ref="G14:J17"/>
    <mergeCell ref="D18:E21"/>
    <mergeCell ref="I18:J21"/>
    <mergeCell ref="B25:F25"/>
    <mergeCell ref="E32:F32"/>
    <mergeCell ref="B37:F3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31A11-B1F5-4F83-BC1E-3389FFA3187C}">
  <sheetPr codeName="Hoja7"/>
  <dimension ref="B1:Q124"/>
  <sheetViews>
    <sheetView showGridLines="0" topLeftCell="A109" workbookViewId="0">
      <selection activeCell="D125" sqref="D125"/>
    </sheetView>
  </sheetViews>
  <sheetFormatPr baseColWidth="10" defaultRowHeight="14.4" x14ac:dyDescent="0.3"/>
  <cols>
    <col min="1" max="1" width="2.6640625" customWidth="1"/>
    <col min="2" max="2" width="3.33203125" customWidth="1"/>
    <col min="3" max="3" width="14.33203125" customWidth="1"/>
    <col min="4" max="4" width="20.44140625" customWidth="1"/>
  </cols>
  <sheetData>
    <row r="1" spans="2:17" ht="6" customHeight="1" x14ac:dyDescent="0.3"/>
    <row r="2" spans="2:17" ht="18" x14ac:dyDescent="0.35">
      <c r="B2" s="142" t="s">
        <v>459</v>
      </c>
    </row>
    <row r="4" spans="2:17" x14ac:dyDescent="0.3">
      <c r="B4" s="121" t="s">
        <v>522</v>
      </c>
    </row>
    <row r="6" spans="2:17" x14ac:dyDescent="0.3">
      <c r="C6" s="67">
        <f ca="1">TODAY()</f>
        <v>45515</v>
      </c>
      <c r="D6" s="174">
        <f ca="1">NOW()</f>
        <v>45515.74602337963</v>
      </c>
      <c r="F6">
        <f ca="1">YEAR(C6)</f>
        <v>2024</v>
      </c>
      <c r="G6">
        <f ca="1">MONTH(C6)</f>
        <v>8</v>
      </c>
      <c r="H6">
        <f ca="1">DAY(C6)</f>
        <v>11</v>
      </c>
      <c r="J6" t="str">
        <f ca="1">TEXT(C6,"dddd")</f>
        <v>domingo</v>
      </c>
    </row>
    <row r="9" spans="2:17" s="122" customFormat="1" ht="13.2" x14ac:dyDescent="0.25">
      <c r="B9" s="121" t="s">
        <v>433</v>
      </c>
    </row>
    <row r="10" spans="2:17" s="122" customFormat="1" ht="13.2" x14ac:dyDescent="0.25"/>
    <row r="11" spans="2:17" s="122" customFormat="1" x14ac:dyDescent="0.3">
      <c r="C11" s="123" t="s">
        <v>434</v>
      </c>
      <c r="D11" s="123" t="s">
        <v>435</v>
      </c>
      <c r="E11" s="123" t="s">
        <v>436</v>
      </c>
      <c r="F11" s="123" t="s">
        <v>352</v>
      </c>
      <c r="G11" s="123" t="s">
        <v>437</v>
      </c>
      <c r="H11"/>
      <c r="I11"/>
      <c r="J11"/>
      <c r="K11"/>
    </row>
    <row r="12" spans="2:17" s="122" customFormat="1" x14ac:dyDescent="0.3">
      <c r="C12" s="124">
        <v>44743</v>
      </c>
      <c r="D12" s="124">
        <f ca="1">TODAY()</f>
        <v>45515</v>
      </c>
      <c r="E12" s="125">
        <f ca="1">DATEDIF(tbl_ejm_fechas[[#This Row],[FECHA]],tbl_ejm_fechas[[#This Row],[HOY]],"Y")</f>
        <v>2</v>
      </c>
      <c r="F12" s="125">
        <f ca="1">DATEDIF(tbl_ejm_fechas[[#This Row],[FECHA]],tbl_ejm_fechas[[#This Row],[HOY]],"M")</f>
        <v>25</v>
      </c>
      <c r="G12" s="125">
        <f ca="1">DATEDIF(tbl_ejm_fechas[[#This Row],[FECHA]],tbl_ejm_fechas[[#This Row],[HOY]],"D")</f>
        <v>772</v>
      </c>
      <c r="H12" s="126" t="s">
        <v>438</v>
      </c>
      <c r="I12"/>
      <c r="J12"/>
      <c r="K12"/>
    </row>
    <row r="13" spans="2:17" s="122" customFormat="1" x14ac:dyDescent="0.3">
      <c r="C13" s="124">
        <v>29996</v>
      </c>
      <c r="D13" s="124">
        <f t="shared" ref="D13:D27" ca="1" si="0">TODAY()</f>
        <v>45515</v>
      </c>
      <c r="E13" s="125">
        <f ca="1">DATEDIF(tbl_ejm_fechas[[#This Row],[FECHA]],tbl_ejm_fechas[[#This Row],[HOY]],"Y")</f>
        <v>42</v>
      </c>
      <c r="F13" s="125">
        <f ca="1">DATEDIF(tbl_ejm_fechas[[#This Row],[FECHA]],tbl_ejm_fechas[[#This Row],[HOY]],"M")</f>
        <v>509</v>
      </c>
      <c r="G13" s="125">
        <f ca="1">DATEDIF(tbl_ejm_fechas[[#This Row],[FECHA]],tbl_ejm_fechas[[#This Row],[HOY]],"D")</f>
        <v>15519</v>
      </c>
      <c r="H13"/>
      <c r="I13" s="2" t="s">
        <v>439</v>
      </c>
      <c r="J13"/>
      <c r="K13"/>
    </row>
    <row r="14" spans="2:17" s="122" customFormat="1" x14ac:dyDescent="0.3">
      <c r="C14" s="124">
        <v>29474</v>
      </c>
      <c r="D14" s="124">
        <f t="shared" ca="1" si="0"/>
        <v>45515</v>
      </c>
      <c r="E14" s="125">
        <f ca="1">DATEDIF(tbl_ejm_fechas[[#This Row],[FECHA]],tbl_ejm_fechas[[#This Row],[HOY]],"Y")</f>
        <v>43</v>
      </c>
      <c r="F14" s="125">
        <f ca="1">DATEDIF(tbl_ejm_fechas[[#This Row],[FECHA]],tbl_ejm_fechas[[#This Row],[HOY]],"M")</f>
        <v>527</v>
      </c>
      <c r="G14" s="125">
        <f ca="1">DATEDIF(tbl_ejm_fechas[[#This Row],[FECHA]],tbl_ejm_fechas[[#This Row],[HOY]],"D")</f>
        <v>16041</v>
      </c>
      <c r="H14"/>
      <c r="I14" s="2" t="s">
        <v>440</v>
      </c>
      <c r="J14"/>
      <c r="K14"/>
    </row>
    <row r="15" spans="2:17" s="122" customFormat="1" x14ac:dyDescent="0.3">
      <c r="C15" s="124">
        <v>42714</v>
      </c>
      <c r="D15" s="124">
        <f t="shared" ca="1" si="0"/>
        <v>45515</v>
      </c>
      <c r="E15" s="125">
        <f ca="1">DATEDIF(tbl_ejm_fechas[[#This Row],[FECHA]],tbl_ejm_fechas[[#This Row],[HOY]],"Y")</f>
        <v>7</v>
      </c>
      <c r="F15" s="125">
        <f ca="1">DATEDIF(tbl_ejm_fechas[[#This Row],[FECHA]],tbl_ejm_fechas[[#This Row],[HOY]],"M")</f>
        <v>92</v>
      </c>
      <c r="G15" s="125">
        <f ca="1">DATEDIF(tbl_ejm_fechas[[#This Row],[FECHA]],tbl_ejm_fechas[[#This Row],[HOY]],"D")</f>
        <v>2801</v>
      </c>
      <c r="H15"/>
      <c r="I15" s="2" t="s">
        <v>441</v>
      </c>
      <c r="J15"/>
      <c r="K15"/>
    </row>
    <row r="16" spans="2:17" s="122" customFormat="1" x14ac:dyDescent="0.3">
      <c r="C16" s="124">
        <v>18705</v>
      </c>
      <c r="D16" s="124">
        <f t="shared" ca="1" si="0"/>
        <v>45515</v>
      </c>
      <c r="E16" s="125">
        <f ca="1">DATEDIF(tbl_ejm_fechas[[#This Row],[FECHA]],tbl_ejm_fechas[[#This Row],[HOY]],"Y")</f>
        <v>73</v>
      </c>
      <c r="F16" s="125">
        <f ca="1">DATEDIF(tbl_ejm_fechas[[#This Row],[FECHA]],tbl_ejm_fechas[[#This Row],[HOY]],"M")</f>
        <v>880</v>
      </c>
      <c r="G16" s="125">
        <f ca="1">DATEDIF(tbl_ejm_fechas[[#This Row],[FECHA]],tbl_ejm_fechas[[#This Row],[HOY]],"D")</f>
        <v>26810</v>
      </c>
      <c r="H16"/>
      <c r="I16" s="127" t="s">
        <v>442</v>
      </c>
      <c r="J16" s="128"/>
      <c r="K16" s="128"/>
      <c r="L16" s="129"/>
      <c r="O16" s="129"/>
      <c r="P16" s="129"/>
      <c r="Q16" s="129"/>
    </row>
    <row r="17" spans="2:17" s="122" customFormat="1" x14ac:dyDescent="0.3">
      <c r="C17" s="124">
        <v>27639</v>
      </c>
      <c r="D17" s="124">
        <f t="shared" ca="1" si="0"/>
        <v>45515</v>
      </c>
      <c r="E17" s="125">
        <f ca="1">DATEDIF(tbl_ejm_fechas[[#This Row],[FECHA]],tbl_ejm_fechas[[#This Row],[HOY]],"Y")</f>
        <v>48</v>
      </c>
      <c r="F17" s="125">
        <f ca="1">DATEDIF(tbl_ejm_fechas[[#This Row],[FECHA]],tbl_ejm_fechas[[#This Row],[HOY]],"M")</f>
        <v>587</v>
      </c>
      <c r="G17" s="125">
        <f ca="1">DATEDIF(tbl_ejm_fechas[[#This Row],[FECHA]],tbl_ejm_fechas[[#This Row],[HOY]],"D")</f>
        <v>17876</v>
      </c>
      <c r="H17"/>
      <c r="I17" s="127" t="s">
        <v>518</v>
      </c>
      <c r="J17" s="128"/>
      <c r="K17" s="128"/>
      <c r="L17" s="129"/>
      <c r="O17" s="129"/>
      <c r="P17" s="129"/>
      <c r="Q17" s="129"/>
    </row>
    <row r="18" spans="2:17" s="122" customFormat="1" x14ac:dyDescent="0.3">
      <c r="C18" s="124">
        <v>24838</v>
      </c>
      <c r="D18" s="124">
        <f t="shared" ca="1" si="0"/>
        <v>45515</v>
      </c>
      <c r="E18" s="125">
        <f ca="1">DATEDIF(tbl_ejm_fechas[[#This Row],[FECHA]],tbl_ejm_fechas[[#This Row],[HOY]],"Y")</f>
        <v>56</v>
      </c>
      <c r="F18" s="125">
        <f ca="1">DATEDIF(tbl_ejm_fechas[[#This Row],[FECHA]],tbl_ejm_fechas[[#This Row],[HOY]],"M")</f>
        <v>679</v>
      </c>
      <c r="G18" s="125">
        <f ca="1">DATEDIF(tbl_ejm_fechas[[#This Row],[FECHA]],tbl_ejm_fechas[[#This Row],[HOY]],"D")</f>
        <v>20677</v>
      </c>
      <c r="H18"/>
      <c r="I18"/>
      <c r="J18"/>
      <c r="K18"/>
    </row>
    <row r="19" spans="2:17" s="122" customFormat="1" x14ac:dyDescent="0.3">
      <c r="C19" s="124">
        <v>33495</v>
      </c>
      <c r="D19" s="124">
        <f t="shared" ca="1" si="0"/>
        <v>45515</v>
      </c>
      <c r="E19" s="125">
        <f ca="1">DATEDIF(tbl_ejm_fechas[[#This Row],[FECHA]],tbl_ejm_fechas[[#This Row],[HOY]],"Y")</f>
        <v>32</v>
      </c>
      <c r="F19" s="125">
        <f ca="1">DATEDIF(tbl_ejm_fechas[[#This Row],[FECHA]],tbl_ejm_fechas[[#This Row],[HOY]],"M")</f>
        <v>394</v>
      </c>
      <c r="G19" s="125">
        <f ca="1">DATEDIF(tbl_ejm_fechas[[#This Row],[FECHA]],tbl_ejm_fechas[[#This Row],[HOY]],"D")</f>
        <v>12020</v>
      </c>
      <c r="H19"/>
      <c r="I19"/>
      <c r="J19"/>
      <c r="K19"/>
    </row>
    <row r="20" spans="2:17" s="122" customFormat="1" x14ac:dyDescent="0.3">
      <c r="C20" s="124">
        <v>29257</v>
      </c>
      <c r="D20" s="124">
        <f t="shared" ca="1" si="0"/>
        <v>45515</v>
      </c>
      <c r="E20" s="125">
        <f ca="1">DATEDIF(tbl_ejm_fechas[[#This Row],[FECHA]],tbl_ejm_fechas[[#This Row],[HOY]],"Y")</f>
        <v>44</v>
      </c>
      <c r="F20" s="125">
        <f ca="1">DATEDIF(tbl_ejm_fechas[[#This Row],[FECHA]],tbl_ejm_fechas[[#This Row],[HOY]],"M")</f>
        <v>534</v>
      </c>
      <c r="G20" s="125">
        <f ca="1">DATEDIF(tbl_ejm_fechas[[#This Row],[FECHA]],tbl_ejm_fechas[[#This Row],[HOY]],"D")</f>
        <v>16258</v>
      </c>
      <c r="H20"/>
      <c r="I20"/>
      <c r="J20"/>
      <c r="K20"/>
    </row>
    <row r="21" spans="2:17" s="122" customFormat="1" x14ac:dyDescent="0.3">
      <c r="C21" s="124">
        <v>43286</v>
      </c>
      <c r="D21" s="124">
        <f t="shared" ca="1" si="0"/>
        <v>45515</v>
      </c>
      <c r="E21" s="125">
        <f ca="1">DATEDIF(tbl_ejm_fechas[[#This Row],[FECHA]],tbl_ejm_fechas[[#This Row],[HOY]],"Y")</f>
        <v>6</v>
      </c>
      <c r="F21" s="125">
        <f ca="1">DATEDIF(tbl_ejm_fechas[[#This Row],[FECHA]],tbl_ejm_fechas[[#This Row],[HOY]],"M")</f>
        <v>73</v>
      </c>
      <c r="G21" s="125">
        <f ca="1">DATEDIF(tbl_ejm_fechas[[#This Row],[FECHA]],tbl_ejm_fechas[[#This Row],[HOY]],"D")</f>
        <v>2229</v>
      </c>
      <c r="H21"/>
      <c r="I21"/>
      <c r="J21"/>
      <c r="K21"/>
    </row>
    <row r="22" spans="2:17" s="122" customFormat="1" x14ac:dyDescent="0.3">
      <c r="C22" s="124">
        <v>33186</v>
      </c>
      <c r="D22" s="124">
        <f t="shared" ca="1" si="0"/>
        <v>45515</v>
      </c>
      <c r="E22" s="125">
        <f ca="1">DATEDIF(tbl_ejm_fechas[[#This Row],[FECHA]],tbl_ejm_fechas[[#This Row],[HOY]],"Y")</f>
        <v>33</v>
      </c>
      <c r="F22" s="125">
        <f ca="1">DATEDIF(tbl_ejm_fechas[[#This Row],[FECHA]],tbl_ejm_fechas[[#This Row],[HOY]],"M")</f>
        <v>405</v>
      </c>
      <c r="G22" s="125">
        <f ca="1">DATEDIF(tbl_ejm_fechas[[#This Row],[FECHA]],tbl_ejm_fechas[[#This Row],[HOY]],"D")</f>
        <v>12329</v>
      </c>
      <c r="H22"/>
      <c r="I22"/>
      <c r="J22"/>
      <c r="K22"/>
    </row>
    <row r="23" spans="2:17" s="122" customFormat="1" x14ac:dyDescent="0.3">
      <c r="C23" s="124">
        <v>23822</v>
      </c>
      <c r="D23" s="124">
        <f t="shared" ca="1" si="0"/>
        <v>45515</v>
      </c>
      <c r="E23" s="125">
        <f ca="1">DATEDIF(tbl_ejm_fechas[[#This Row],[FECHA]],tbl_ejm_fechas[[#This Row],[HOY]],"Y")</f>
        <v>59</v>
      </c>
      <c r="F23" s="125">
        <f ca="1">DATEDIF(tbl_ejm_fechas[[#This Row],[FECHA]],tbl_ejm_fechas[[#This Row],[HOY]],"M")</f>
        <v>712</v>
      </c>
      <c r="G23" s="125">
        <f ca="1">DATEDIF(tbl_ejm_fechas[[#This Row],[FECHA]],tbl_ejm_fechas[[#This Row],[HOY]],"D")</f>
        <v>21693</v>
      </c>
      <c r="H23"/>
      <c r="I23"/>
      <c r="J23"/>
      <c r="K23"/>
    </row>
    <row r="24" spans="2:17" s="122" customFormat="1" x14ac:dyDescent="0.3">
      <c r="C24" s="124">
        <v>44721</v>
      </c>
      <c r="D24" s="124">
        <f t="shared" ca="1" si="0"/>
        <v>45515</v>
      </c>
      <c r="E24" s="125">
        <f ca="1">DATEDIF(tbl_ejm_fechas[[#This Row],[FECHA]],tbl_ejm_fechas[[#This Row],[HOY]],"Y")</f>
        <v>2</v>
      </c>
      <c r="F24" s="125">
        <f ca="1">DATEDIF(tbl_ejm_fechas[[#This Row],[FECHA]],tbl_ejm_fechas[[#This Row],[HOY]],"M")</f>
        <v>26</v>
      </c>
      <c r="G24" s="125">
        <f ca="1">DATEDIF(tbl_ejm_fechas[[#This Row],[FECHA]],tbl_ejm_fechas[[#This Row],[HOY]],"D")</f>
        <v>794</v>
      </c>
      <c r="H24"/>
      <c r="I24"/>
      <c r="J24"/>
      <c r="K24"/>
    </row>
    <row r="25" spans="2:17" s="122" customFormat="1" x14ac:dyDescent="0.3">
      <c r="C25" s="124">
        <v>32140</v>
      </c>
      <c r="D25" s="124">
        <f t="shared" ca="1" si="0"/>
        <v>45515</v>
      </c>
      <c r="E25" s="125">
        <f ca="1">DATEDIF(tbl_ejm_fechas[[#This Row],[FECHA]],tbl_ejm_fechas[[#This Row],[HOY]],"Y")</f>
        <v>36</v>
      </c>
      <c r="F25" s="125">
        <f ca="1">DATEDIF(tbl_ejm_fechas[[#This Row],[FECHA]],tbl_ejm_fechas[[#This Row],[HOY]],"M")</f>
        <v>439</v>
      </c>
      <c r="G25" s="125">
        <f ca="1">DATEDIF(tbl_ejm_fechas[[#This Row],[FECHA]],tbl_ejm_fechas[[#This Row],[HOY]],"D")</f>
        <v>13375</v>
      </c>
      <c r="H25"/>
      <c r="I25"/>
      <c r="J25"/>
      <c r="K25"/>
    </row>
    <row r="26" spans="2:17" s="122" customFormat="1" x14ac:dyDescent="0.3">
      <c r="C26" s="124">
        <v>22673</v>
      </c>
      <c r="D26" s="124">
        <f t="shared" ca="1" si="0"/>
        <v>45515</v>
      </c>
      <c r="E26" s="125">
        <f ca="1">DATEDIF(tbl_ejm_fechas[[#This Row],[FECHA]],tbl_ejm_fechas[[#This Row],[HOY]],"Y")</f>
        <v>62</v>
      </c>
      <c r="F26" s="125">
        <f ca="1">DATEDIF(tbl_ejm_fechas[[#This Row],[FECHA]],tbl_ejm_fechas[[#This Row],[HOY]],"M")</f>
        <v>750</v>
      </c>
      <c r="G26" s="125">
        <f ca="1">DATEDIF(tbl_ejm_fechas[[#This Row],[FECHA]],tbl_ejm_fechas[[#This Row],[HOY]],"D")</f>
        <v>22842</v>
      </c>
      <c r="H26"/>
      <c r="I26"/>
      <c r="J26"/>
      <c r="K26"/>
    </row>
    <row r="27" spans="2:17" s="122" customFormat="1" x14ac:dyDescent="0.3">
      <c r="C27" s="124">
        <v>32809</v>
      </c>
      <c r="D27" s="124">
        <f t="shared" ca="1" si="0"/>
        <v>45515</v>
      </c>
      <c r="E27" s="125">
        <f ca="1">DATEDIF(tbl_ejm_fechas[[#This Row],[FECHA]],tbl_ejm_fechas[[#This Row],[HOY]],"Y")</f>
        <v>34</v>
      </c>
      <c r="F27" s="125">
        <f ca="1">DATEDIF(tbl_ejm_fechas[[#This Row],[FECHA]],tbl_ejm_fechas[[#This Row],[HOY]],"M")</f>
        <v>417</v>
      </c>
      <c r="G27" s="125">
        <f ca="1">DATEDIF(tbl_ejm_fechas[[#This Row],[FECHA]],tbl_ejm_fechas[[#This Row],[HOY]],"D")</f>
        <v>12706</v>
      </c>
      <c r="H27"/>
      <c r="I27"/>
      <c r="J27"/>
      <c r="K27"/>
    </row>
    <row r="28" spans="2:17" s="122" customFormat="1" ht="13.2" x14ac:dyDescent="0.25"/>
    <row r="30" spans="2:17" ht="17.399999999999999" x14ac:dyDescent="0.3">
      <c r="B30" s="130" t="s">
        <v>443</v>
      </c>
    </row>
    <row r="32" spans="2:17" x14ac:dyDescent="0.3">
      <c r="B32" s="131"/>
    </row>
    <row r="37" spans="2:10" ht="15.6" x14ac:dyDescent="0.3">
      <c r="B37" s="132" t="s">
        <v>444</v>
      </c>
    </row>
    <row r="38" spans="2:10" s="112" customFormat="1" x14ac:dyDescent="0.3">
      <c r="C38" s="133" t="s">
        <v>445</v>
      </c>
      <c r="D38" s="134">
        <f ca="1">TODAY()</f>
        <v>45515</v>
      </c>
      <c r="J38" s="135" t="s">
        <v>446</v>
      </c>
    </row>
    <row r="39" spans="2:10" s="112" customFormat="1" x14ac:dyDescent="0.3">
      <c r="C39" s="133" t="s">
        <v>447</v>
      </c>
      <c r="D39" s="112">
        <v>10</v>
      </c>
      <c r="J39" s="136"/>
    </row>
    <row r="40" spans="2:10" s="112" customFormat="1" x14ac:dyDescent="0.3">
      <c r="C40" s="133" t="s">
        <v>448</v>
      </c>
      <c r="D40" s="136"/>
      <c r="J40" s="134"/>
    </row>
    <row r="41" spans="2:10" x14ac:dyDescent="0.3">
      <c r="C41" s="2"/>
    </row>
    <row r="48" spans="2:10" ht="15.6" x14ac:dyDescent="0.3">
      <c r="B48" s="132" t="s">
        <v>444</v>
      </c>
    </row>
    <row r="49" spans="2:10" x14ac:dyDescent="0.3">
      <c r="B49" s="112"/>
      <c r="C49" s="133" t="s">
        <v>445</v>
      </c>
      <c r="D49" s="134">
        <f ca="1">TODAY()</f>
        <v>45515</v>
      </c>
      <c r="E49" s="112"/>
      <c r="F49" s="112"/>
      <c r="G49" s="112"/>
      <c r="H49" s="112"/>
      <c r="I49" s="112"/>
      <c r="J49" s="135" t="s">
        <v>446</v>
      </c>
    </row>
    <row r="50" spans="2:10" x14ac:dyDescent="0.3">
      <c r="B50" s="112"/>
      <c r="C50" s="133" t="s">
        <v>447</v>
      </c>
      <c r="D50" s="112">
        <v>10</v>
      </c>
      <c r="E50" s="112"/>
      <c r="F50" s="112"/>
      <c r="G50" s="112"/>
      <c r="H50" s="112"/>
      <c r="I50" s="112"/>
      <c r="J50" s="136">
        <f ca="1">D49+3</f>
        <v>45518</v>
      </c>
    </row>
    <row r="51" spans="2:10" x14ac:dyDescent="0.3">
      <c r="B51" s="112"/>
      <c r="C51" s="133" t="s">
        <v>448</v>
      </c>
      <c r="D51" s="136">
        <f ca="1">WORKDAY.INTL(D49,D50,1,J50:J51)</f>
        <v>45531</v>
      </c>
      <c r="E51" s="112"/>
      <c r="F51" s="112"/>
      <c r="G51" s="112"/>
      <c r="H51" s="112"/>
      <c r="I51" s="112"/>
      <c r="J51" s="134">
        <f ca="1">J50+1</f>
        <v>45519</v>
      </c>
    </row>
    <row r="57" spans="2:10" ht="15.6" x14ac:dyDescent="0.3">
      <c r="B57" s="132" t="s">
        <v>444</v>
      </c>
    </row>
    <row r="58" spans="2:10" x14ac:dyDescent="0.3">
      <c r="B58" s="112"/>
      <c r="C58" s="133" t="s">
        <v>445</v>
      </c>
      <c r="D58" s="134">
        <f ca="1">TODAY()</f>
        <v>45515</v>
      </c>
    </row>
    <row r="59" spans="2:10" x14ac:dyDescent="0.3">
      <c r="B59" s="112"/>
      <c r="C59" s="133" t="s">
        <v>448</v>
      </c>
      <c r="D59" s="134">
        <v>45301</v>
      </c>
    </row>
    <row r="60" spans="2:10" x14ac:dyDescent="0.3">
      <c r="B60" s="112"/>
      <c r="C60" s="133" t="s">
        <v>447</v>
      </c>
      <c r="D60" s="137"/>
    </row>
    <row r="69" spans="2:10" ht="15.6" x14ac:dyDescent="0.3">
      <c r="B69" s="132" t="s">
        <v>444</v>
      </c>
    </row>
    <row r="70" spans="2:10" x14ac:dyDescent="0.3">
      <c r="B70" s="112"/>
      <c r="C70" s="133" t="s">
        <v>445</v>
      </c>
      <c r="D70" s="134">
        <f ca="1">TODAY()</f>
        <v>45515</v>
      </c>
      <c r="E70" s="112"/>
      <c r="F70" s="112"/>
      <c r="G70" s="112"/>
      <c r="H70" s="112"/>
      <c r="I70" s="112"/>
      <c r="J70" s="135" t="s">
        <v>446</v>
      </c>
    </row>
    <row r="71" spans="2:10" x14ac:dyDescent="0.3">
      <c r="B71" s="112"/>
      <c r="C71" s="133" t="s">
        <v>448</v>
      </c>
      <c r="D71" s="134">
        <v>45301</v>
      </c>
      <c r="E71" s="112"/>
      <c r="F71" s="112"/>
      <c r="G71" s="112"/>
      <c r="H71" s="112"/>
      <c r="I71" s="112"/>
      <c r="J71" s="136"/>
    </row>
    <row r="72" spans="2:10" x14ac:dyDescent="0.3">
      <c r="B72" s="112"/>
      <c r="C72" s="133" t="s">
        <v>447</v>
      </c>
      <c r="D72" s="137"/>
      <c r="E72" s="112"/>
      <c r="F72" s="112"/>
      <c r="G72" s="112"/>
      <c r="H72" s="112"/>
      <c r="I72" s="112"/>
      <c r="J72" s="112"/>
    </row>
    <row r="80" spans="2:10" ht="15.6" x14ac:dyDescent="0.3">
      <c r="B80" s="132" t="s">
        <v>444</v>
      </c>
    </row>
    <row r="81" spans="2:10" x14ac:dyDescent="0.3">
      <c r="B81" s="112"/>
      <c r="C81" s="133" t="s">
        <v>445</v>
      </c>
      <c r="D81" s="134">
        <f ca="1">TODAY()</f>
        <v>45515</v>
      </c>
      <c r="E81" s="112"/>
      <c r="F81" s="112"/>
      <c r="G81" s="112"/>
      <c r="H81" s="112"/>
      <c r="I81" s="112"/>
      <c r="J81" s="135" t="s">
        <v>446</v>
      </c>
    </row>
    <row r="82" spans="2:10" x14ac:dyDescent="0.3">
      <c r="B82" s="112"/>
      <c r="C82" s="133" t="s">
        <v>448</v>
      </c>
      <c r="D82" s="134">
        <v>45522</v>
      </c>
      <c r="E82" s="112"/>
      <c r="F82" s="112"/>
      <c r="G82" s="112"/>
      <c r="H82" s="112"/>
      <c r="I82" s="112"/>
      <c r="J82" s="136">
        <f ca="1">D81+3</f>
        <v>45518</v>
      </c>
    </row>
    <row r="83" spans="2:10" x14ac:dyDescent="0.3">
      <c r="B83" s="112"/>
      <c r="C83" s="133" t="s">
        <v>447</v>
      </c>
      <c r="D83" s="137">
        <f ca="1">WORKDAY.INTL(D81,D82,1,J82:J83)</f>
        <v>109247</v>
      </c>
      <c r="E83" s="112"/>
      <c r="F83" s="112"/>
      <c r="G83" s="112"/>
      <c r="H83" s="112"/>
      <c r="I83" s="112"/>
      <c r="J83" s="134">
        <f ca="1">J82+1</f>
        <v>45519</v>
      </c>
    </row>
    <row r="89" spans="2:10" ht="15.6" x14ac:dyDescent="0.3">
      <c r="B89" s="132" t="s">
        <v>444</v>
      </c>
    </row>
    <row r="90" spans="2:10" x14ac:dyDescent="0.3">
      <c r="C90" s="2" t="s">
        <v>449</v>
      </c>
      <c r="D90">
        <v>2023</v>
      </c>
    </row>
    <row r="91" spans="2:10" x14ac:dyDescent="0.3">
      <c r="C91" s="2" t="s">
        <v>450</v>
      </c>
      <c r="D91">
        <v>11</v>
      </c>
    </row>
    <row r="92" spans="2:10" x14ac:dyDescent="0.3">
      <c r="C92" s="2" t="s">
        <v>451</v>
      </c>
      <c r="D92">
        <v>19</v>
      </c>
    </row>
    <row r="93" spans="2:10" x14ac:dyDescent="0.3">
      <c r="C93" s="2" t="s">
        <v>452</v>
      </c>
      <c r="D93" s="138">
        <f>DATE(D90,D91,D92)</f>
        <v>45249</v>
      </c>
    </row>
    <row r="96" spans="2:10" x14ac:dyDescent="0.3">
      <c r="E96" s="67"/>
    </row>
    <row r="100" spans="2:5" ht="15.6" x14ac:dyDescent="0.3">
      <c r="B100" s="132" t="s">
        <v>444</v>
      </c>
    </row>
    <row r="101" spans="2:5" x14ac:dyDescent="0.3">
      <c r="C101" s="2" t="s">
        <v>452</v>
      </c>
      <c r="D101" s="67">
        <f ca="1">TODAY()</f>
        <v>45515</v>
      </c>
    </row>
    <row r="102" spans="2:5" x14ac:dyDescent="0.3">
      <c r="C102" s="2" t="s">
        <v>453</v>
      </c>
      <c r="D102">
        <v>2</v>
      </c>
    </row>
    <row r="103" spans="2:5" x14ac:dyDescent="0.3">
      <c r="C103" s="2" t="s">
        <v>454</v>
      </c>
      <c r="D103" s="138">
        <f ca="1">EDATE(D101,D102)</f>
        <v>45576</v>
      </c>
      <c r="E103" s="67">
        <f ca="1">EOMONTH(D101,D102)</f>
        <v>45596</v>
      </c>
    </row>
    <row r="110" spans="2:5" ht="15.6" x14ac:dyDescent="0.3">
      <c r="B110" s="132" t="s">
        <v>444</v>
      </c>
    </row>
    <row r="111" spans="2:5" x14ac:dyDescent="0.3">
      <c r="C111" s="2" t="s">
        <v>22</v>
      </c>
      <c r="D111" s="139">
        <f ca="1">NOW()</f>
        <v>45515.74602337963</v>
      </c>
    </row>
    <row r="112" spans="2:5" x14ac:dyDescent="0.3">
      <c r="C112" s="2" t="s">
        <v>455</v>
      </c>
      <c r="D112" s="140">
        <f ca="1">HOUR(D111)</f>
        <v>17</v>
      </c>
    </row>
    <row r="113" spans="2:4" x14ac:dyDescent="0.3">
      <c r="C113" s="2" t="s">
        <v>456</v>
      </c>
      <c r="D113" s="140">
        <f ca="1">MINUTE(D111)</f>
        <v>54</v>
      </c>
    </row>
    <row r="114" spans="2:4" x14ac:dyDescent="0.3">
      <c r="C114" s="2" t="s">
        <v>457</v>
      </c>
      <c r="D114" s="140">
        <f ca="1">SECOND(D111)</f>
        <v>16</v>
      </c>
    </row>
    <row r="120" spans="2:4" ht="15.6" x14ac:dyDescent="0.3">
      <c r="B120" s="132" t="s">
        <v>444</v>
      </c>
    </row>
    <row r="121" spans="2:4" x14ac:dyDescent="0.3">
      <c r="C121" s="2" t="s">
        <v>455</v>
      </c>
      <c r="D121">
        <v>23</v>
      </c>
    </row>
    <row r="122" spans="2:4" x14ac:dyDescent="0.3">
      <c r="C122" s="2" t="s">
        <v>456</v>
      </c>
      <c r="D122">
        <v>15</v>
      </c>
    </row>
    <row r="123" spans="2:4" x14ac:dyDescent="0.3">
      <c r="C123" s="2" t="s">
        <v>457</v>
      </c>
      <c r="D123">
        <v>20</v>
      </c>
    </row>
    <row r="124" spans="2:4" x14ac:dyDescent="0.3">
      <c r="C124" s="2" t="s">
        <v>458</v>
      </c>
      <c r="D124" s="141">
        <f>TIME(D121,D122,D123)</f>
        <v>0.96898148148148155</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6ABB3-1EBF-4484-9C52-897667C5BF0C}">
  <sheetPr codeName="Hoja8"/>
  <dimension ref="B2:C8"/>
  <sheetViews>
    <sheetView showGridLines="0" workbookViewId="0">
      <selection activeCell="F17" sqref="F17"/>
    </sheetView>
  </sheetViews>
  <sheetFormatPr baseColWidth="10" defaultColWidth="11.44140625" defaultRowHeight="10.199999999999999" x14ac:dyDescent="0.2"/>
  <cols>
    <col min="1" max="1" width="3.6640625" style="43" customWidth="1"/>
    <col min="2" max="16384" width="11.44140625" style="43"/>
  </cols>
  <sheetData>
    <row r="2" spans="2:3" ht="18" x14ac:dyDescent="0.35">
      <c r="B2" s="142" t="s">
        <v>462</v>
      </c>
    </row>
    <row r="4" spans="2:3" ht="14.4" x14ac:dyDescent="0.3">
      <c r="B4" s="2" t="s">
        <v>460</v>
      </c>
      <c r="C4" s="7" t="s">
        <v>461</v>
      </c>
    </row>
    <row r="7" spans="2:3" x14ac:dyDescent="0.2">
      <c r="B7" s="43" t="s">
        <v>532</v>
      </c>
    </row>
    <row r="8" spans="2:3" ht="14.4" x14ac:dyDescent="0.3">
      <c r="C8" s="7"/>
    </row>
  </sheetData>
  <hyperlinks>
    <hyperlink ref="C4" r:id="rId1" xr:uid="{953B15E9-4C03-4245-8B73-825488594AF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0C278-2813-4574-9496-13CF58F3A83E}">
  <sheetPr codeName="Hoja9"/>
  <dimension ref="A1:A4"/>
  <sheetViews>
    <sheetView showGridLines="0" workbookViewId="0">
      <selection activeCell="C13" sqref="C13"/>
    </sheetView>
  </sheetViews>
  <sheetFormatPr baseColWidth="10" defaultRowHeight="14.4" x14ac:dyDescent="0.3"/>
  <cols>
    <col min="1" max="1" width="5.5546875" customWidth="1"/>
    <col min="2" max="2" width="11" customWidth="1"/>
    <col min="8" max="8" width="11.88671875" bestFit="1" customWidth="1"/>
  </cols>
  <sheetData>
    <row r="1" spans="1:1" x14ac:dyDescent="0.3">
      <c r="A1" t="s">
        <v>525</v>
      </c>
    </row>
    <row r="3" spans="1:1" x14ac:dyDescent="0.3">
      <c r="A3" t="s">
        <v>533</v>
      </c>
    </row>
    <row r="4" spans="1:1" x14ac:dyDescent="0.3">
      <c r="A4" t="s">
        <v>534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25A66-368F-489D-AF38-0B24BBABA86F}">
  <sheetPr codeName="Hoja1"/>
  <dimension ref="B2:V32"/>
  <sheetViews>
    <sheetView showGridLines="0" tabSelected="1" workbookViewId="0">
      <selection activeCell="F17" sqref="F17"/>
    </sheetView>
  </sheetViews>
  <sheetFormatPr baseColWidth="10" defaultColWidth="11.44140625" defaultRowHeight="10.199999999999999" x14ac:dyDescent="0.2"/>
  <cols>
    <col min="1" max="1" width="2.33203125" style="43" customWidth="1"/>
    <col min="2" max="2" width="13.33203125" style="43" customWidth="1"/>
    <col min="3" max="3" width="11.44140625" style="43" customWidth="1"/>
    <col min="4" max="9" width="11.44140625" style="43"/>
    <col min="10" max="10" width="11.44140625" style="150"/>
    <col min="11" max="11" width="7.5546875" style="43" customWidth="1"/>
    <col min="12" max="12" width="6" style="43" bestFit="1" customWidth="1"/>
    <col min="13" max="13" width="10.88671875" style="43" bestFit="1" customWidth="1"/>
    <col min="14" max="14" width="19.5546875" style="43" bestFit="1" customWidth="1"/>
    <col min="15" max="15" width="14.33203125" style="43" bestFit="1" customWidth="1"/>
    <col min="16" max="17" width="11.44140625" style="43"/>
    <col min="18" max="18" width="22.33203125" style="43" bestFit="1" customWidth="1"/>
    <col min="19" max="19" width="10.44140625" style="43" bestFit="1" customWidth="1"/>
    <col min="20" max="20" width="16.5546875" style="43" bestFit="1" customWidth="1"/>
    <col min="21" max="21" width="8.5546875" style="43" bestFit="1" customWidth="1"/>
    <col min="22" max="22" width="8.88671875" style="43" bestFit="1" customWidth="1"/>
    <col min="23" max="16384" width="11.44140625" style="43"/>
  </cols>
  <sheetData>
    <row r="2" spans="2:22" ht="12" x14ac:dyDescent="0.25">
      <c r="B2" s="53" t="s">
        <v>397</v>
      </c>
    </row>
    <row r="3" spans="2:22" x14ac:dyDescent="0.2">
      <c r="B3" s="43" t="s">
        <v>535</v>
      </c>
    </row>
    <row r="4" spans="2:22" ht="12" x14ac:dyDescent="0.25">
      <c r="B4" s="53" t="s">
        <v>349</v>
      </c>
    </row>
    <row r="5" spans="2:22" x14ac:dyDescent="0.2">
      <c r="B5" s="43" t="s">
        <v>350</v>
      </c>
      <c r="J5" s="54" t="s">
        <v>354</v>
      </c>
      <c r="L5" s="47" t="s">
        <v>321</v>
      </c>
      <c r="M5" s="47" t="s">
        <v>322</v>
      </c>
      <c r="N5" s="47" t="s">
        <v>323</v>
      </c>
      <c r="O5" s="47" t="s">
        <v>358</v>
      </c>
      <c r="Q5" s="47" t="s">
        <v>223</v>
      </c>
      <c r="R5" s="47" t="s">
        <v>224</v>
      </c>
      <c r="S5" s="47" t="s">
        <v>225</v>
      </c>
      <c r="T5" s="47" t="s">
        <v>226</v>
      </c>
      <c r="U5" s="47" t="s">
        <v>227</v>
      </c>
      <c r="V5" s="47" t="s">
        <v>228</v>
      </c>
    </row>
    <row r="6" spans="2:22" x14ac:dyDescent="0.2">
      <c r="J6" s="176">
        <v>44927</v>
      </c>
      <c r="L6" s="43">
        <v>1</v>
      </c>
      <c r="M6" s="43">
        <v>101</v>
      </c>
      <c r="N6" s="43" t="s">
        <v>324</v>
      </c>
      <c r="O6" s="43">
        <v>550</v>
      </c>
      <c r="Q6" s="43">
        <v>1</v>
      </c>
      <c r="R6" s="43" t="s">
        <v>229</v>
      </c>
      <c r="S6" s="43" t="s">
        <v>230</v>
      </c>
      <c r="T6" s="43" t="s">
        <v>231</v>
      </c>
      <c r="U6" s="43" t="s">
        <v>232</v>
      </c>
      <c r="V6" s="43" t="s">
        <v>233</v>
      </c>
    </row>
    <row r="7" spans="2:22" x14ac:dyDescent="0.2">
      <c r="B7" s="45" t="s">
        <v>354</v>
      </c>
      <c r="H7" s="69"/>
      <c r="J7" s="176">
        <v>44958</v>
      </c>
      <c r="L7" s="43">
        <v>2</v>
      </c>
      <c r="M7" s="43">
        <v>102</v>
      </c>
      <c r="N7" s="43" t="s">
        <v>325</v>
      </c>
      <c r="O7" s="43">
        <v>960</v>
      </c>
      <c r="Q7" s="43">
        <v>2</v>
      </c>
      <c r="R7" s="43" t="s">
        <v>234</v>
      </c>
      <c r="S7" s="43" t="s">
        <v>235</v>
      </c>
      <c r="T7" s="43" t="s">
        <v>236</v>
      </c>
      <c r="U7" s="43" t="s">
        <v>237</v>
      </c>
      <c r="V7" s="43" t="s">
        <v>238</v>
      </c>
    </row>
    <row r="8" spans="2:22" x14ac:dyDescent="0.2">
      <c r="J8" s="176">
        <v>44986</v>
      </c>
      <c r="L8" s="43">
        <v>3</v>
      </c>
      <c r="M8" s="43">
        <v>103</v>
      </c>
      <c r="N8" s="43" t="s">
        <v>326</v>
      </c>
      <c r="O8" s="43">
        <v>890</v>
      </c>
      <c r="Q8" s="43">
        <v>3</v>
      </c>
      <c r="R8" s="43" t="s">
        <v>239</v>
      </c>
      <c r="S8" s="43" t="s">
        <v>240</v>
      </c>
      <c r="T8" s="43" t="s">
        <v>241</v>
      </c>
      <c r="U8" s="43" t="s">
        <v>242</v>
      </c>
      <c r="V8" s="43" t="s">
        <v>243</v>
      </c>
    </row>
    <row r="9" spans="2:22" x14ac:dyDescent="0.2">
      <c r="B9" s="46">
        <v>6</v>
      </c>
      <c r="G9" s="69"/>
      <c r="J9" s="176">
        <v>45017</v>
      </c>
      <c r="L9" s="43">
        <v>4</v>
      </c>
      <c r="M9" s="43">
        <v>104</v>
      </c>
      <c r="N9" s="43" t="s">
        <v>327</v>
      </c>
      <c r="O9" s="43">
        <v>1710</v>
      </c>
      <c r="Q9" s="43">
        <v>4</v>
      </c>
      <c r="R9" s="43" t="s">
        <v>244</v>
      </c>
      <c r="S9" s="43" t="s">
        <v>245</v>
      </c>
      <c r="T9" s="43" t="s">
        <v>246</v>
      </c>
      <c r="U9" s="43" t="s">
        <v>247</v>
      </c>
      <c r="V9" s="43" t="s">
        <v>248</v>
      </c>
    </row>
    <row r="10" spans="2:22" x14ac:dyDescent="0.2">
      <c r="J10" s="176">
        <v>45047</v>
      </c>
      <c r="L10" s="43">
        <v>5</v>
      </c>
      <c r="M10" s="43">
        <v>105</v>
      </c>
      <c r="N10" s="43" t="s">
        <v>328</v>
      </c>
      <c r="O10" s="43">
        <v>1400</v>
      </c>
      <c r="Q10" s="43">
        <v>5</v>
      </c>
      <c r="R10" s="43" t="s">
        <v>249</v>
      </c>
      <c r="S10" s="43" t="s">
        <v>250</v>
      </c>
      <c r="T10" s="43" t="s">
        <v>251</v>
      </c>
      <c r="U10" s="43" t="s">
        <v>252</v>
      </c>
      <c r="V10" s="43" t="s">
        <v>253</v>
      </c>
    </row>
    <row r="11" spans="2:22" ht="11.25" customHeight="1" x14ac:dyDescent="0.2">
      <c r="B11" s="51" t="s">
        <v>353</v>
      </c>
      <c r="C11" s="52"/>
      <c r="D11" s="45"/>
      <c r="E11" s="45"/>
      <c r="J11" s="176">
        <v>45078</v>
      </c>
      <c r="L11" s="43">
        <v>6</v>
      </c>
      <c r="M11" s="43">
        <v>106</v>
      </c>
      <c r="N11" s="43" t="s">
        <v>329</v>
      </c>
      <c r="O11" s="43">
        <v>1240</v>
      </c>
      <c r="Q11" s="43">
        <v>6</v>
      </c>
      <c r="R11" s="43" t="s">
        <v>254</v>
      </c>
      <c r="S11" s="43" t="s">
        <v>255</v>
      </c>
      <c r="T11" s="43" t="s">
        <v>256</v>
      </c>
      <c r="U11" s="43" t="s">
        <v>68</v>
      </c>
      <c r="V11" s="43" t="s">
        <v>257</v>
      </c>
    </row>
    <row r="12" spans="2:22" x14ac:dyDescent="0.2">
      <c r="B12" s="50"/>
      <c r="C12" s="50"/>
      <c r="J12" s="176">
        <v>45108</v>
      </c>
      <c r="L12" s="43">
        <v>7</v>
      </c>
      <c r="M12" s="43">
        <v>111</v>
      </c>
      <c r="N12" s="43" t="s">
        <v>330</v>
      </c>
      <c r="O12" s="43">
        <v>2750</v>
      </c>
      <c r="Q12" s="43">
        <v>7</v>
      </c>
      <c r="R12" s="43" t="s">
        <v>258</v>
      </c>
      <c r="S12" s="43" t="s">
        <v>259</v>
      </c>
      <c r="T12" s="43" t="s">
        <v>260</v>
      </c>
      <c r="U12" s="43" t="s">
        <v>130</v>
      </c>
      <c r="V12" s="43" t="s">
        <v>261</v>
      </c>
    </row>
    <row r="13" spans="2:22" x14ac:dyDescent="0.2">
      <c r="B13" s="45" t="s">
        <v>351</v>
      </c>
      <c r="C13" s="50"/>
      <c r="J13" s="176">
        <v>45139</v>
      </c>
      <c r="L13" s="43">
        <v>8</v>
      </c>
      <c r="M13" s="43">
        <v>112</v>
      </c>
      <c r="N13" s="43" t="s">
        <v>331</v>
      </c>
      <c r="O13" s="43">
        <v>2620</v>
      </c>
      <c r="Q13" s="43">
        <v>8</v>
      </c>
      <c r="R13" s="43" t="s">
        <v>262</v>
      </c>
      <c r="S13" s="43" t="s">
        <v>263</v>
      </c>
      <c r="T13" s="43" t="s">
        <v>264</v>
      </c>
      <c r="U13" s="43" t="s">
        <v>265</v>
      </c>
      <c r="V13" s="43" t="s">
        <v>266</v>
      </c>
    </row>
    <row r="14" spans="2:22" x14ac:dyDescent="0.2">
      <c r="J14" s="176">
        <v>45170</v>
      </c>
      <c r="L14" s="43">
        <v>9</v>
      </c>
      <c r="M14" s="43">
        <v>113</v>
      </c>
      <c r="N14" s="43" t="s">
        <v>332</v>
      </c>
      <c r="O14" s="43">
        <v>2800</v>
      </c>
      <c r="Q14" s="43">
        <v>9</v>
      </c>
      <c r="R14" s="43" t="s">
        <v>267</v>
      </c>
      <c r="S14" s="43" t="s">
        <v>268</v>
      </c>
      <c r="T14" s="43" t="s">
        <v>269</v>
      </c>
      <c r="U14" s="43" t="s">
        <v>270</v>
      </c>
      <c r="V14" s="43" t="s">
        <v>271</v>
      </c>
    </row>
    <row r="15" spans="2:22" x14ac:dyDescent="0.2">
      <c r="B15" s="46">
        <v>24</v>
      </c>
      <c r="J15" s="176">
        <v>45200</v>
      </c>
      <c r="L15" s="43">
        <v>10</v>
      </c>
      <c r="M15" s="43">
        <v>114</v>
      </c>
      <c r="N15" s="43" t="s">
        <v>333</v>
      </c>
      <c r="O15" s="43">
        <v>2900</v>
      </c>
      <c r="Q15" s="48">
        <v>10</v>
      </c>
      <c r="R15" s="43" t="s">
        <v>272</v>
      </c>
      <c r="S15" s="43" t="s">
        <v>273</v>
      </c>
      <c r="T15" s="43" t="s">
        <v>274</v>
      </c>
      <c r="U15" s="43" t="s">
        <v>275</v>
      </c>
      <c r="V15" s="43" t="s">
        <v>276</v>
      </c>
    </row>
    <row r="16" spans="2:22" x14ac:dyDescent="0.2">
      <c r="J16" s="176">
        <v>45231</v>
      </c>
      <c r="L16" s="43">
        <v>11</v>
      </c>
      <c r="M16" s="43">
        <v>121</v>
      </c>
      <c r="N16" s="43" t="s">
        <v>334</v>
      </c>
      <c r="O16" s="43">
        <v>420</v>
      </c>
      <c r="Q16" s="48">
        <v>11</v>
      </c>
      <c r="R16" s="43" t="s">
        <v>277</v>
      </c>
      <c r="S16" s="43" t="s">
        <v>278</v>
      </c>
      <c r="T16" s="43" t="s">
        <v>279</v>
      </c>
      <c r="U16" s="43" t="s">
        <v>280</v>
      </c>
      <c r="V16" s="43" t="s">
        <v>281</v>
      </c>
    </row>
    <row r="17" spans="2:22" x14ac:dyDescent="0.2">
      <c r="J17" s="176">
        <v>45261</v>
      </c>
      <c r="L17" s="43">
        <v>12</v>
      </c>
      <c r="M17" s="43">
        <v>122</v>
      </c>
      <c r="N17" s="43" t="s">
        <v>335</v>
      </c>
      <c r="O17" s="43">
        <v>360</v>
      </c>
      <c r="Q17" s="48">
        <v>12</v>
      </c>
      <c r="R17" s="43" t="s">
        <v>282</v>
      </c>
      <c r="S17" s="43" t="s">
        <v>283</v>
      </c>
      <c r="T17" s="43" t="s">
        <v>284</v>
      </c>
      <c r="U17" s="43" t="s">
        <v>67</v>
      </c>
      <c r="V17" s="43" t="s">
        <v>285</v>
      </c>
    </row>
    <row r="18" spans="2:22" x14ac:dyDescent="0.2">
      <c r="B18" s="45" t="s">
        <v>355</v>
      </c>
      <c r="L18" s="43">
        <v>13</v>
      </c>
      <c r="M18" s="43">
        <v>131</v>
      </c>
      <c r="N18" s="43" t="s">
        <v>336</v>
      </c>
      <c r="O18" s="43">
        <v>1350</v>
      </c>
      <c r="Q18" s="48">
        <v>13</v>
      </c>
      <c r="R18" s="43" t="s">
        <v>286</v>
      </c>
      <c r="S18" s="43" t="s">
        <v>287</v>
      </c>
      <c r="T18" s="43" t="s">
        <v>288</v>
      </c>
      <c r="U18" s="43" t="s">
        <v>232</v>
      </c>
      <c r="V18" s="43" t="s">
        <v>289</v>
      </c>
    </row>
    <row r="19" spans="2:22" x14ac:dyDescent="0.2">
      <c r="L19" s="43">
        <v>14</v>
      </c>
      <c r="M19" s="43">
        <v>132</v>
      </c>
      <c r="N19" s="43" t="s">
        <v>337</v>
      </c>
      <c r="O19" s="43">
        <v>1020</v>
      </c>
      <c r="Q19" s="48">
        <v>14</v>
      </c>
      <c r="R19" s="43" t="s">
        <v>290</v>
      </c>
      <c r="S19" s="43" t="s">
        <v>291</v>
      </c>
      <c r="T19" s="43" t="s">
        <v>292</v>
      </c>
      <c r="U19" s="43" t="s">
        <v>265</v>
      </c>
      <c r="V19" s="43" t="s">
        <v>293</v>
      </c>
    </row>
    <row r="20" spans="2:22" x14ac:dyDescent="0.2">
      <c r="B20" s="46">
        <v>5</v>
      </c>
      <c r="L20" s="43">
        <v>15</v>
      </c>
      <c r="M20" s="43">
        <v>133</v>
      </c>
      <c r="N20" s="43" t="s">
        <v>338</v>
      </c>
      <c r="O20" s="43">
        <v>810</v>
      </c>
      <c r="Q20" s="48">
        <v>15</v>
      </c>
      <c r="R20" s="43" t="s">
        <v>294</v>
      </c>
      <c r="S20" s="43" t="s">
        <v>295</v>
      </c>
      <c r="T20" s="43" t="s">
        <v>296</v>
      </c>
      <c r="U20" s="43" t="s">
        <v>242</v>
      </c>
      <c r="V20" s="43" t="s">
        <v>297</v>
      </c>
    </row>
    <row r="21" spans="2:22" x14ac:dyDescent="0.2">
      <c r="L21" s="43">
        <v>16</v>
      </c>
      <c r="M21" s="43">
        <v>141</v>
      </c>
      <c r="N21" s="43" t="s">
        <v>339</v>
      </c>
      <c r="O21" s="43">
        <v>690</v>
      </c>
      <c r="Q21" s="48">
        <v>16</v>
      </c>
      <c r="R21" s="43" t="s">
        <v>298</v>
      </c>
      <c r="S21" s="43" t="s">
        <v>299</v>
      </c>
      <c r="T21" s="43" t="s">
        <v>300</v>
      </c>
      <c r="U21" s="43" t="s">
        <v>301</v>
      </c>
      <c r="V21" s="43" t="s">
        <v>302</v>
      </c>
    </row>
    <row r="22" spans="2:22" ht="12" x14ac:dyDescent="0.25">
      <c r="B22" s="53" t="s">
        <v>356</v>
      </c>
      <c r="L22" s="43">
        <v>17</v>
      </c>
      <c r="M22" s="43">
        <v>142</v>
      </c>
      <c r="N22" s="43" t="s">
        <v>340</v>
      </c>
      <c r="O22" s="43">
        <v>780</v>
      </c>
      <c r="Q22" s="48">
        <v>17</v>
      </c>
      <c r="R22" s="43" t="s">
        <v>303</v>
      </c>
      <c r="S22" s="43" t="s">
        <v>304</v>
      </c>
      <c r="T22" s="43" t="s">
        <v>305</v>
      </c>
      <c r="U22" s="43" t="s">
        <v>306</v>
      </c>
      <c r="V22" s="43" t="s">
        <v>307</v>
      </c>
    </row>
    <row r="23" spans="2:22" x14ac:dyDescent="0.2">
      <c r="B23" s="43" t="s">
        <v>357</v>
      </c>
      <c r="L23" s="43">
        <v>18</v>
      </c>
      <c r="M23" s="43">
        <v>143</v>
      </c>
      <c r="N23" s="43" t="s">
        <v>341</v>
      </c>
      <c r="O23" s="43">
        <v>960</v>
      </c>
      <c r="Q23" s="48">
        <v>18</v>
      </c>
      <c r="R23" s="43" t="s">
        <v>308</v>
      </c>
      <c r="S23" s="43" t="s">
        <v>309</v>
      </c>
      <c r="T23" s="43" t="s">
        <v>310</v>
      </c>
      <c r="U23" s="43" t="s">
        <v>311</v>
      </c>
      <c r="V23" s="43" t="s">
        <v>312</v>
      </c>
    </row>
    <row r="24" spans="2:22" x14ac:dyDescent="0.2">
      <c r="L24" s="43">
        <v>19</v>
      </c>
      <c r="M24" s="43">
        <v>151</v>
      </c>
      <c r="N24" s="43" t="s">
        <v>342</v>
      </c>
      <c r="O24" s="43">
        <v>4700</v>
      </c>
      <c r="Q24" s="48">
        <v>19</v>
      </c>
      <c r="R24" s="43" t="s">
        <v>313</v>
      </c>
      <c r="S24" s="43" t="s">
        <v>314</v>
      </c>
      <c r="T24" s="43" t="s">
        <v>315</v>
      </c>
      <c r="U24" s="43" t="s">
        <v>247</v>
      </c>
      <c r="V24" s="43" t="s">
        <v>316</v>
      </c>
    </row>
    <row r="25" spans="2:22" x14ac:dyDescent="0.2">
      <c r="L25" s="43">
        <v>20</v>
      </c>
      <c r="M25" s="43">
        <v>152</v>
      </c>
      <c r="N25" s="43" t="s">
        <v>343</v>
      </c>
      <c r="O25" s="43">
        <v>4950</v>
      </c>
      <c r="Q25" s="48">
        <v>20</v>
      </c>
      <c r="R25" s="43" t="s">
        <v>317</v>
      </c>
      <c r="S25" s="43" t="s">
        <v>318</v>
      </c>
      <c r="T25" s="43" t="s">
        <v>319</v>
      </c>
      <c r="U25" s="43" t="s">
        <v>275</v>
      </c>
      <c r="V25" s="43" t="s">
        <v>320</v>
      </c>
    </row>
    <row r="26" spans="2:22" x14ac:dyDescent="0.2">
      <c r="L26" s="43">
        <v>21</v>
      </c>
      <c r="M26" s="43">
        <v>153</v>
      </c>
      <c r="N26" s="49" t="s">
        <v>344</v>
      </c>
      <c r="O26" s="43">
        <v>5150</v>
      </c>
    </row>
    <row r="27" spans="2:22" x14ac:dyDescent="0.2">
      <c r="L27" s="43">
        <v>22</v>
      </c>
      <c r="M27" s="43">
        <v>161</v>
      </c>
      <c r="N27" s="43" t="s">
        <v>345</v>
      </c>
      <c r="O27" s="43">
        <v>1410</v>
      </c>
    </row>
    <row r="28" spans="2:22" x14ac:dyDescent="0.2">
      <c r="L28" s="43">
        <v>23</v>
      </c>
      <c r="M28" s="43">
        <v>162</v>
      </c>
      <c r="N28" s="43" t="s">
        <v>346</v>
      </c>
      <c r="O28" s="43">
        <v>1240</v>
      </c>
    </row>
    <row r="29" spans="2:22" x14ac:dyDescent="0.2">
      <c r="L29" s="43">
        <v>24</v>
      </c>
      <c r="M29" s="43">
        <v>171</v>
      </c>
      <c r="N29" s="43" t="s">
        <v>347</v>
      </c>
      <c r="O29" s="43">
        <v>1390</v>
      </c>
    </row>
    <row r="30" spans="2:22" x14ac:dyDescent="0.2">
      <c r="L30" s="43">
        <v>25</v>
      </c>
      <c r="M30" s="43">
        <v>172</v>
      </c>
      <c r="N30" s="43" t="s">
        <v>348</v>
      </c>
      <c r="O30" s="43">
        <v>1270</v>
      </c>
    </row>
    <row r="32" spans="2:22" x14ac:dyDescent="0.2">
      <c r="B32" s="46">
        <v>2</v>
      </c>
      <c r="E32" s="46">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800100</xdr:colOff>
                    <xdr:row>6</xdr:row>
                    <xdr:rowOff>0</xdr:rowOff>
                  </from>
                  <to>
                    <xdr:col>4</xdr:col>
                    <xdr:colOff>312420</xdr:colOff>
                    <xdr:row>7</xdr:row>
                    <xdr:rowOff>83820</xdr:rowOff>
                  </to>
                </anchor>
              </controlPr>
            </control>
          </mc:Choice>
        </mc:AlternateContent>
        <mc:AlternateContent xmlns:mc="http://schemas.openxmlformats.org/markup-compatibility/2006">
          <mc:Choice Requires="x14">
            <control shapeId="8194" r:id="rId5" name="Drop Down 2">
              <controlPr defaultSize="0" autoLine="0" autoPict="0">
                <anchor moveWithCells="1">
                  <from>
                    <xdr:col>1</xdr:col>
                    <xdr:colOff>784860</xdr:colOff>
                    <xdr:row>11</xdr:row>
                    <xdr:rowOff>137160</xdr:rowOff>
                  </from>
                  <to>
                    <xdr:col>4</xdr:col>
                    <xdr:colOff>312420</xdr:colOff>
                    <xdr:row>13</xdr:row>
                    <xdr:rowOff>99060</xdr:rowOff>
                  </to>
                </anchor>
              </controlPr>
            </control>
          </mc:Choice>
        </mc:AlternateContent>
        <mc:AlternateContent xmlns:mc="http://schemas.openxmlformats.org/markup-compatibility/2006">
          <mc:Choice Requires="x14">
            <control shapeId="8195" r:id="rId6" name="Drop Down 3">
              <controlPr defaultSize="0" autoLine="0" autoPict="0">
                <anchor moveWithCells="1">
                  <from>
                    <xdr:col>1</xdr:col>
                    <xdr:colOff>822960</xdr:colOff>
                    <xdr:row>17</xdr:row>
                    <xdr:rowOff>22860</xdr:rowOff>
                  </from>
                  <to>
                    <xdr:col>4</xdr:col>
                    <xdr:colOff>304800</xdr:colOff>
                    <xdr:row>18</xdr:row>
                    <xdr:rowOff>99060</xdr:rowOff>
                  </to>
                </anchor>
              </controlPr>
            </control>
          </mc:Choice>
        </mc:AlternateContent>
        <mc:AlternateContent xmlns:mc="http://schemas.openxmlformats.org/markup-compatibility/2006">
          <mc:Choice Requires="x14">
            <control shapeId="8196" r:id="rId7" name="Group Box 4">
              <controlPr defaultSize="0" autoFill="0" autoPict="0">
                <anchor moveWithCells="1">
                  <from>
                    <xdr:col>1</xdr:col>
                    <xdr:colOff>312420</xdr:colOff>
                    <xdr:row>23</xdr:row>
                    <xdr:rowOff>144780</xdr:rowOff>
                  </from>
                  <to>
                    <xdr:col>3</xdr:col>
                    <xdr:colOff>160020</xdr:colOff>
                    <xdr:row>30</xdr:row>
                    <xdr:rowOff>45720</xdr:rowOff>
                  </to>
                </anchor>
              </controlPr>
            </control>
          </mc:Choice>
        </mc:AlternateContent>
        <mc:AlternateContent xmlns:mc="http://schemas.openxmlformats.org/markup-compatibility/2006">
          <mc:Choice Requires="x14">
            <control shapeId="8199" r:id="rId8" name="Option Button 7">
              <controlPr defaultSize="0" autoFill="0" autoLine="0" autoPict="0">
                <anchor moveWithCells="1">
                  <from>
                    <xdr:col>1</xdr:col>
                    <xdr:colOff>411480</xdr:colOff>
                    <xdr:row>25</xdr:row>
                    <xdr:rowOff>22860</xdr:rowOff>
                  </from>
                  <to>
                    <xdr:col>2</xdr:col>
                    <xdr:colOff>365760</xdr:colOff>
                    <xdr:row>26</xdr:row>
                    <xdr:rowOff>99060</xdr:rowOff>
                  </to>
                </anchor>
              </controlPr>
            </control>
          </mc:Choice>
        </mc:AlternateContent>
        <mc:AlternateContent xmlns:mc="http://schemas.openxmlformats.org/markup-compatibility/2006">
          <mc:Choice Requires="x14">
            <control shapeId="8202" r:id="rId9" name="Option Button 10">
              <controlPr defaultSize="0" autoFill="0" autoLine="0" autoPict="0">
                <anchor moveWithCells="1">
                  <from>
                    <xdr:col>1</xdr:col>
                    <xdr:colOff>426720</xdr:colOff>
                    <xdr:row>27</xdr:row>
                    <xdr:rowOff>38100</xdr:rowOff>
                  </from>
                  <to>
                    <xdr:col>2</xdr:col>
                    <xdr:colOff>274320</xdr:colOff>
                    <xdr:row>28</xdr:row>
                    <xdr:rowOff>114300</xdr:rowOff>
                  </to>
                </anchor>
              </controlPr>
            </control>
          </mc:Choice>
        </mc:AlternateContent>
        <mc:AlternateContent xmlns:mc="http://schemas.openxmlformats.org/markup-compatibility/2006">
          <mc:Choice Requires="x14">
            <control shapeId="8203" r:id="rId10" name="Group Box 11">
              <controlPr defaultSize="0" autoFill="0" autoPict="0">
                <anchor moveWithCells="1">
                  <from>
                    <xdr:col>3</xdr:col>
                    <xdr:colOff>685800</xdr:colOff>
                    <xdr:row>23</xdr:row>
                    <xdr:rowOff>121920</xdr:rowOff>
                  </from>
                  <to>
                    <xdr:col>5</xdr:col>
                    <xdr:colOff>731520</xdr:colOff>
                    <xdr:row>30</xdr:row>
                    <xdr:rowOff>60960</xdr:rowOff>
                  </to>
                </anchor>
              </controlPr>
            </control>
          </mc:Choice>
        </mc:AlternateContent>
        <mc:AlternateContent xmlns:mc="http://schemas.openxmlformats.org/markup-compatibility/2006">
          <mc:Choice Requires="x14">
            <control shapeId="8204" r:id="rId11" name="Option Button 12">
              <controlPr defaultSize="0" autoFill="0" autoLine="0" autoPict="0">
                <anchor moveWithCells="1">
                  <from>
                    <xdr:col>4</xdr:col>
                    <xdr:colOff>30480</xdr:colOff>
                    <xdr:row>24</xdr:row>
                    <xdr:rowOff>45720</xdr:rowOff>
                  </from>
                  <to>
                    <xdr:col>5</xdr:col>
                    <xdr:colOff>251460</xdr:colOff>
                    <xdr:row>25</xdr:row>
                    <xdr:rowOff>121920</xdr:rowOff>
                  </to>
                </anchor>
              </controlPr>
            </control>
          </mc:Choice>
        </mc:AlternateContent>
        <mc:AlternateContent xmlns:mc="http://schemas.openxmlformats.org/markup-compatibility/2006">
          <mc:Choice Requires="x14">
            <control shapeId="8205" r:id="rId12" name="Option Button 13">
              <controlPr defaultSize="0" autoFill="0" autoLine="0" autoPict="0">
                <anchor moveWithCells="1">
                  <from>
                    <xdr:col>4</xdr:col>
                    <xdr:colOff>38100</xdr:colOff>
                    <xdr:row>25</xdr:row>
                    <xdr:rowOff>114300</xdr:rowOff>
                  </from>
                  <to>
                    <xdr:col>5</xdr:col>
                    <xdr:colOff>182880</xdr:colOff>
                    <xdr:row>27</xdr:row>
                    <xdr:rowOff>45720</xdr:rowOff>
                  </to>
                </anchor>
              </controlPr>
            </control>
          </mc:Choice>
        </mc:AlternateContent>
        <mc:AlternateContent xmlns:mc="http://schemas.openxmlformats.org/markup-compatibility/2006">
          <mc:Choice Requires="x14">
            <control shapeId="8206" r:id="rId13" name="Option Button 14">
              <controlPr defaultSize="0" autoFill="0" autoLine="0" autoPict="0">
                <anchor moveWithCells="1">
                  <from>
                    <xdr:col>4</xdr:col>
                    <xdr:colOff>45720</xdr:colOff>
                    <xdr:row>27</xdr:row>
                    <xdr:rowOff>45720</xdr:rowOff>
                  </from>
                  <to>
                    <xdr:col>5</xdr:col>
                    <xdr:colOff>190500</xdr:colOff>
                    <xdr:row>28</xdr:row>
                    <xdr:rowOff>121920</xdr:rowOff>
                  </to>
                </anchor>
              </controlPr>
            </control>
          </mc:Choice>
        </mc:AlternateContent>
        <mc:AlternateContent xmlns:mc="http://schemas.openxmlformats.org/markup-compatibility/2006">
          <mc:Choice Requires="x14">
            <control shapeId="8207" r:id="rId14" name="Option Button 15">
              <controlPr defaultSize="0" autoFill="0" autoLine="0" autoPict="0">
                <anchor moveWithCells="1">
                  <from>
                    <xdr:col>4</xdr:col>
                    <xdr:colOff>60960</xdr:colOff>
                    <xdr:row>28</xdr:row>
                    <xdr:rowOff>106680</xdr:rowOff>
                  </from>
                  <to>
                    <xdr:col>5</xdr:col>
                    <xdr:colOff>198120</xdr:colOff>
                    <xdr:row>30</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40266-4FDD-435A-89E6-4D1CED65F79F}">
  <sheetPr codeName="Hoja14"/>
  <dimension ref="A1:D17"/>
  <sheetViews>
    <sheetView showGridLines="0" workbookViewId="0"/>
  </sheetViews>
  <sheetFormatPr baseColWidth="10" defaultRowHeight="14.4" x14ac:dyDescent="0.3"/>
  <cols>
    <col min="1" max="1" width="57.33203125" customWidth="1"/>
    <col min="2" max="2" width="32.109375" bestFit="1" customWidth="1"/>
    <col min="3" max="3" width="61.33203125" bestFit="1" customWidth="1"/>
  </cols>
  <sheetData>
    <row r="1" spans="1:4" x14ac:dyDescent="0.3">
      <c r="A1" s="55" t="s">
        <v>362</v>
      </c>
      <c r="B1" s="55" t="s">
        <v>363</v>
      </c>
      <c r="C1" s="55" t="s">
        <v>364</v>
      </c>
      <c r="D1" s="56"/>
    </row>
    <row r="2" spans="1:4" x14ac:dyDescent="0.3">
      <c r="A2" t="s">
        <v>360</v>
      </c>
      <c r="B2" t="s">
        <v>361</v>
      </c>
      <c r="C2" t="s">
        <v>359</v>
      </c>
    </row>
    <row r="3" spans="1:4" x14ac:dyDescent="0.3">
      <c r="A3" t="s">
        <v>365</v>
      </c>
      <c r="C3" t="s">
        <v>366</v>
      </c>
    </row>
    <row r="4" spans="1:4" x14ac:dyDescent="0.3">
      <c r="A4" t="s">
        <v>367</v>
      </c>
      <c r="C4" t="s">
        <v>368</v>
      </c>
    </row>
    <row r="5" spans="1:4" x14ac:dyDescent="0.3">
      <c r="A5" t="s">
        <v>369</v>
      </c>
      <c r="C5" t="s">
        <v>370</v>
      </c>
    </row>
    <row r="6" spans="1:4" x14ac:dyDescent="0.3">
      <c r="A6" t="s">
        <v>372</v>
      </c>
      <c r="C6" t="s">
        <v>373</v>
      </c>
    </row>
    <row r="7" spans="1:4" x14ac:dyDescent="0.3">
      <c r="A7" t="s">
        <v>371</v>
      </c>
      <c r="C7" t="s">
        <v>381</v>
      </c>
    </row>
    <row r="8" spans="1:4" x14ac:dyDescent="0.3">
      <c r="A8" t="s">
        <v>382</v>
      </c>
      <c r="C8" t="s">
        <v>380</v>
      </c>
    </row>
    <row r="9" spans="1:4" x14ac:dyDescent="0.3">
      <c r="A9" t="s">
        <v>374</v>
      </c>
      <c r="C9" t="s">
        <v>375</v>
      </c>
    </row>
    <row r="10" spans="1:4" x14ac:dyDescent="0.3">
      <c r="A10" t="s">
        <v>376</v>
      </c>
      <c r="C10" t="s">
        <v>377</v>
      </c>
    </row>
    <row r="11" spans="1:4" x14ac:dyDescent="0.3">
      <c r="A11" t="s">
        <v>378</v>
      </c>
      <c r="C11" t="s">
        <v>379</v>
      </c>
    </row>
    <row r="12" spans="1:4" x14ac:dyDescent="0.3">
      <c r="A12" t="s">
        <v>383</v>
      </c>
      <c r="C12" t="s">
        <v>384</v>
      </c>
    </row>
    <row r="13" spans="1:4" x14ac:dyDescent="0.3">
      <c r="A13" t="s">
        <v>385</v>
      </c>
      <c r="C13" t="s">
        <v>386</v>
      </c>
    </row>
    <row r="14" spans="1:4" x14ac:dyDescent="0.3">
      <c r="A14" t="s">
        <v>387</v>
      </c>
      <c r="C14" t="s">
        <v>388</v>
      </c>
    </row>
    <row r="15" spans="1:4" x14ac:dyDescent="0.3">
      <c r="A15" s="57" t="s">
        <v>389</v>
      </c>
      <c r="C15" t="s">
        <v>390</v>
      </c>
    </row>
    <row r="16" spans="1:4" x14ac:dyDescent="0.3">
      <c r="A16" t="s">
        <v>391</v>
      </c>
      <c r="C16" t="s">
        <v>392</v>
      </c>
    </row>
    <row r="17" spans="1:3" x14ac:dyDescent="0.3">
      <c r="A17" t="s">
        <v>393</v>
      </c>
      <c r="C17" t="s">
        <v>394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98CE-6B2B-4676-AD6D-C61431B58131}">
  <sheetPr codeName="Hoja10"/>
  <dimension ref="A1:R39"/>
  <sheetViews>
    <sheetView showGridLines="0" workbookViewId="0"/>
  </sheetViews>
  <sheetFormatPr baseColWidth="10" defaultRowHeight="14.4" x14ac:dyDescent="0.3"/>
  <cols>
    <col min="1" max="1" width="2.33203125" style="144" customWidth="1"/>
    <col min="2" max="11" width="11.44140625" style="144"/>
    <col min="12" max="12" width="11.6640625" style="144" customWidth="1"/>
    <col min="13" max="13" width="15.6640625" style="144" customWidth="1"/>
    <col min="14" max="14" width="9" style="144" customWidth="1"/>
    <col min="15" max="15" width="4.88671875" style="144" customWidth="1"/>
    <col min="16" max="16" width="10.5546875" style="144" customWidth="1"/>
    <col min="17" max="18" width="11.44140625" style="144"/>
  </cols>
  <sheetData>
    <row r="1" spans="2:17" x14ac:dyDescent="0.3">
      <c r="K1" s="43"/>
      <c r="L1" s="43"/>
      <c r="M1" s="43"/>
      <c r="N1" s="43"/>
    </row>
    <row r="2" spans="2:17" ht="18" x14ac:dyDescent="0.3">
      <c r="B2" s="26" t="s">
        <v>465</v>
      </c>
      <c r="C2" s="145"/>
      <c r="D2" s="145"/>
      <c r="E2" s="145"/>
      <c r="F2" s="146"/>
      <c r="G2" s="146"/>
      <c r="H2" s="146"/>
      <c r="I2" s="146"/>
      <c r="K2" s="43"/>
      <c r="L2" s="147" t="s">
        <v>466</v>
      </c>
      <c r="M2" s="43"/>
      <c r="N2" s="148" t="s">
        <v>467</v>
      </c>
    </row>
    <row r="3" spans="2:17" x14ac:dyDescent="0.3">
      <c r="K3" s="43"/>
      <c r="L3" s="43"/>
      <c r="M3" s="43"/>
      <c r="N3" s="43"/>
    </row>
    <row r="4" spans="2:17" x14ac:dyDescent="0.3">
      <c r="B4" s="144" t="s">
        <v>468</v>
      </c>
      <c r="K4" s="43"/>
      <c r="L4" s="43"/>
      <c r="M4" s="43"/>
      <c r="N4" s="43"/>
    </row>
    <row r="5" spans="2:17" x14ac:dyDescent="0.3">
      <c r="B5" s="144" t="s">
        <v>469</v>
      </c>
    </row>
    <row r="7" spans="2:17" x14ac:dyDescent="0.3">
      <c r="B7" s="144" t="s">
        <v>470</v>
      </c>
    </row>
    <row r="9" spans="2:17" x14ac:dyDescent="0.3">
      <c r="B9" s="76" t="s">
        <v>471</v>
      </c>
      <c r="M9" s="143" t="s">
        <v>472</v>
      </c>
      <c r="O9" s="143" t="s">
        <v>472</v>
      </c>
      <c r="P9" s="149" t="s">
        <v>473</v>
      </c>
      <c r="Q9" s="149" t="s">
        <v>474</v>
      </c>
    </row>
    <row r="10" spans="2:17" x14ac:dyDescent="0.3">
      <c r="M10" s="149" t="s">
        <v>475</v>
      </c>
    </row>
    <row r="11" spans="2:17" x14ac:dyDescent="0.3">
      <c r="C11" s="150" t="s">
        <v>476</v>
      </c>
      <c r="D11" s="150" t="s">
        <v>477</v>
      </c>
      <c r="E11" s="150" t="s">
        <v>478</v>
      </c>
      <c r="F11" s="150" t="s">
        <v>479</v>
      </c>
      <c r="G11" s="150" t="s">
        <v>480</v>
      </c>
      <c r="I11" s="151"/>
      <c r="J11" s="151"/>
      <c r="M11" s="149" t="s">
        <v>481</v>
      </c>
    </row>
    <row r="12" spans="2:17" x14ac:dyDescent="0.3">
      <c r="C12" s="150" t="s">
        <v>482</v>
      </c>
      <c r="D12" s="150" t="s">
        <v>483</v>
      </c>
      <c r="E12" s="150" t="s">
        <v>484</v>
      </c>
      <c r="F12" s="150" t="s">
        <v>485</v>
      </c>
      <c r="G12" s="150" t="s">
        <v>486</v>
      </c>
      <c r="I12" s="151"/>
      <c r="J12" s="151"/>
    </row>
    <row r="13" spans="2:17" x14ac:dyDescent="0.3">
      <c r="C13" s="150" t="s">
        <v>487</v>
      </c>
      <c r="D13" s="150" t="s">
        <v>488</v>
      </c>
      <c r="E13" s="152" t="s">
        <v>489</v>
      </c>
      <c r="F13" s="150" t="s">
        <v>490</v>
      </c>
      <c r="G13" s="150" t="s">
        <v>491</v>
      </c>
      <c r="I13" s="151"/>
      <c r="J13" s="151"/>
      <c r="M13" s="153" t="s">
        <v>472</v>
      </c>
      <c r="N13" s="154"/>
      <c r="O13" s="153" t="s">
        <v>472</v>
      </c>
      <c r="P13" s="149"/>
      <c r="Q13" s="149"/>
    </row>
    <row r="14" spans="2:17" x14ac:dyDescent="0.3">
      <c r="C14" s="150" t="s">
        <v>492</v>
      </c>
      <c r="D14" s="150" t="s">
        <v>493</v>
      </c>
      <c r="E14" s="150" t="s">
        <v>494</v>
      </c>
      <c r="F14" s="150" t="s">
        <v>495</v>
      </c>
      <c r="G14" s="150" t="s">
        <v>496</v>
      </c>
      <c r="L14" s="195" t="s">
        <v>497</v>
      </c>
      <c r="M14" s="149"/>
      <c r="P14" s="196" t="s">
        <v>498</v>
      </c>
      <c r="Q14" s="196"/>
    </row>
    <row r="15" spans="2:17" x14ac:dyDescent="0.3">
      <c r="C15" s="150" t="s">
        <v>499</v>
      </c>
      <c r="D15" s="150" t="s">
        <v>500</v>
      </c>
      <c r="E15" s="150" t="s">
        <v>501</v>
      </c>
      <c r="F15" s="150" t="s">
        <v>502</v>
      </c>
      <c r="G15" s="150" t="s">
        <v>503</v>
      </c>
      <c r="L15" s="195"/>
      <c r="M15" s="149"/>
    </row>
    <row r="18" spans="2:17" x14ac:dyDescent="0.3">
      <c r="B18" s="76" t="s">
        <v>504</v>
      </c>
      <c r="C18" s="43"/>
      <c r="D18" s="43"/>
      <c r="E18" s="43"/>
      <c r="F18" s="43"/>
      <c r="G18" s="43"/>
      <c r="H18" s="43"/>
      <c r="I18" s="43"/>
      <c r="J18" s="43"/>
    </row>
    <row r="19" spans="2:17" x14ac:dyDescent="0.3">
      <c r="B19" s="43"/>
      <c r="N19" s="155"/>
    </row>
    <row r="20" spans="2:17" x14ac:dyDescent="0.3">
      <c r="B20" s="43"/>
      <c r="C20" s="156" t="s">
        <v>505</v>
      </c>
      <c r="D20" s="155">
        <v>44562</v>
      </c>
      <c r="E20" s="155">
        <v>44593</v>
      </c>
      <c r="F20" s="155">
        <v>44621</v>
      </c>
      <c r="G20" s="155">
        <v>44652</v>
      </c>
      <c r="H20" s="155">
        <v>44682</v>
      </c>
      <c r="I20" s="155">
        <v>44713</v>
      </c>
      <c r="J20" s="155">
        <v>44743</v>
      </c>
      <c r="L20" s="143" t="s">
        <v>450</v>
      </c>
      <c r="M20" s="155">
        <v>44652</v>
      </c>
    </row>
    <row r="21" spans="2:17" x14ac:dyDescent="0.3">
      <c r="B21" s="43"/>
      <c r="C21" s="54" t="s">
        <v>506</v>
      </c>
      <c r="D21" s="157">
        <v>491</v>
      </c>
      <c r="E21" s="157">
        <v>795</v>
      </c>
      <c r="F21" s="157">
        <v>149</v>
      </c>
      <c r="G21" s="157">
        <v>795</v>
      </c>
      <c r="H21" s="157">
        <v>239</v>
      </c>
      <c r="I21" s="151">
        <v>861</v>
      </c>
      <c r="J21" s="151">
        <v>719</v>
      </c>
      <c r="L21" s="143" t="s">
        <v>507</v>
      </c>
      <c r="M21" s="54" t="s">
        <v>508</v>
      </c>
    </row>
    <row r="22" spans="2:17" x14ac:dyDescent="0.3">
      <c r="B22" s="43"/>
      <c r="C22" s="54" t="s">
        <v>509</v>
      </c>
      <c r="D22" s="157">
        <v>666</v>
      </c>
      <c r="E22" s="157">
        <v>209</v>
      </c>
      <c r="F22" s="157">
        <v>531</v>
      </c>
      <c r="G22" s="157">
        <v>465</v>
      </c>
      <c r="H22" s="157">
        <v>257</v>
      </c>
      <c r="I22" s="151">
        <v>303</v>
      </c>
      <c r="J22" s="151">
        <v>316</v>
      </c>
      <c r="L22" s="143" t="s">
        <v>510</v>
      </c>
      <c r="M22" s="158">
        <f ca="1">SUM(OFFSET(C20,MATCH(M21,C21:C26,0),MATCH(M20,D20:J20,0),1,-MATCH(M20,D20:J20,0)))</f>
        <v>1837</v>
      </c>
    </row>
    <row r="23" spans="2:17" x14ac:dyDescent="0.3">
      <c r="B23" s="43"/>
      <c r="C23" s="54" t="s">
        <v>508</v>
      </c>
      <c r="D23" s="157">
        <v>356</v>
      </c>
      <c r="E23" s="157">
        <v>449</v>
      </c>
      <c r="F23" s="157">
        <v>806</v>
      </c>
      <c r="G23" s="157">
        <v>226</v>
      </c>
      <c r="H23" s="157">
        <v>393</v>
      </c>
      <c r="I23" s="151">
        <v>618</v>
      </c>
      <c r="J23" s="151">
        <v>799</v>
      </c>
    </row>
    <row r="24" spans="2:17" x14ac:dyDescent="0.3">
      <c r="B24" s="43"/>
      <c r="C24" s="54" t="s">
        <v>511</v>
      </c>
      <c r="D24" s="157">
        <v>717</v>
      </c>
      <c r="E24" s="157">
        <v>323</v>
      </c>
      <c r="F24" s="157">
        <v>870</v>
      </c>
      <c r="G24" s="157">
        <v>489</v>
      </c>
      <c r="H24" s="157">
        <v>374</v>
      </c>
      <c r="I24" s="151">
        <v>718</v>
      </c>
      <c r="J24" s="151">
        <v>561</v>
      </c>
    </row>
    <row r="25" spans="2:17" x14ac:dyDescent="0.3">
      <c r="B25" s="43"/>
      <c r="C25" s="54" t="s">
        <v>512</v>
      </c>
      <c r="D25" s="157">
        <v>893</v>
      </c>
      <c r="E25" s="157">
        <v>865</v>
      </c>
      <c r="F25" s="157">
        <v>282</v>
      </c>
      <c r="G25" s="157">
        <v>428</v>
      </c>
      <c r="H25" s="157">
        <v>154</v>
      </c>
      <c r="I25" s="151">
        <v>669</v>
      </c>
      <c r="J25" s="151">
        <v>531</v>
      </c>
      <c r="K25"/>
      <c r="L25"/>
      <c r="M25"/>
      <c r="N25"/>
      <c r="O25"/>
      <c r="P25"/>
      <c r="Q25"/>
    </row>
    <row r="26" spans="2:17" x14ac:dyDescent="0.3">
      <c r="B26" s="43"/>
      <c r="C26" s="54" t="s">
        <v>513</v>
      </c>
      <c r="D26" s="157">
        <v>197</v>
      </c>
      <c r="E26" s="157">
        <v>456</v>
      </c>
      <c r="F26" s="157">
        <v>232</v>
      </c>
      <c r="G26" s="157">
        <v>813</v>
      </c>
      <c r="H26" s="157">
        <v>648</v>
      </c>
      <c r="I26" s="151">
        <v>421</v>
      </c>
      <c r="J26" s="151">
        <v>619</v>
      </c>
      <c r="K26"/>
      <c r="L26"/>
      <c r="M26"/>
      <c r="N26"/>
      <c r="O26"/>
      <c r="P26"/>
      <c r="Q26"/>
    </row>
    <row r="27" spans="2:17" x14ac:dyDescent="0.3">
      <c r="B27" s="43"/>
      <c r="C27" s="43"/>
      <c r="D27" s="157"/>
      <c r="E27" s="157"/>
      <c r="F27" s="157"/>
      <c r="G27" s="157"/>
      <c r="H27" s="157"/>
      <c r="K27"/>
      <c r="L27"/>
      <c r="M27"/>
      <c r="N27"/>
      <c r="O27"/>
      <c r="P27"/>
      <c r="Q27"/>
    </row>
    <row r="28" spans="2:17" x14ac:dyDescent="0.3">
      <c r="C28" s="43"/>
      <c r="D28" s="157"/>
      <c r="E28" s="157"/>
      <c r="F28" s="157"/>
      <c r="G28" s="157"/>
      <c r="H28" s="157"/>
      <c r="K28"/>
      <c r="L28"/>
      <c r="M28"/>
      <c r="N28"/>
      <c r="O28"/>
      <c r="P28"/>
      <c r="Q28"/>
    </row>
    <row r="29" spans="2:17" x14ac:dyDescent="0.3">
      <c r="K29"/>
      <c r="L29"/>
      <c r="M29"/>
      <c r="N29"/>
      <c r="O29"/>
      <c r="P29"/>
      <c r="Q29"/>
    </row>
    <row r="30" spans="2:17" x14ac:dyDescent="0.3">
      <c r="B30" s="76"/>
      <c r="C30" s="43"/>
      <c r="D30" s="43"/>
      <c r="E30" s="43"/>
      <c r="F30" s="43"/>
      <c r="G30" s="43"/>
      <c r="H30" s="43"/>
      <c r="I30" s="43"/>
      <c r="J30" s="43"/>
      <c r="K30"/>
      <c r="L30"/>
      <c r="M30"/>
      <c r="N30"/>
      <c r="O30"/>
      <c r="P30"/>
      <c r="Q30"/>
    </row>
    <row r="31" spans="2:17" x14ac:dyDescent="0.3">
      <c r="C31" s="159"/>
      <c r="D31" s="160"/>
      <c r="E31" s="160"/>
      <c r="F31" s="160"/>
      <c r="G31" s="160"/>
      <c r="H31" s="160"/>
      <c r="I31" s="160"/>
      <c r="J31" s="160"/>
      <c r="K31"/>
      <c r="L31"/>
      <c r="M31"/>
      <c r="N31"/>
      <c r="O31"/>
      <c r="P31"/>
      <c r="Q31"/>
    </row>
    <row r="32" spans="2:17" x14ac:dyDescent="0.3">
      <c r="C32" s="161"/>
      <c r="D32" s="162"/>
      <c r="E32" s="162"/>
      <c r="F32" s="162"/>
      <c r="G32" s="162"/>
      <c r="H32" s="162"/>
      <c r="I32" s="162"/>
      <c r="J32" s="162"/>
      <c r="K32"/>
      <c r="L32"/>
      <c r="M32"/>
      <c r="N32"/>
      <c r="O32"/>
      <c r="P32"/>
      <c r="Q32"/>
    </row>
    <row r="33" spans="2:17" x14ac:dyDescent="0.3">
      <c r="C33" s="161"/>
      <c r="D33" s="163"/>
      <c r="E33" s="163"/>
      <c r="F33" s="163"/>
      <c r="G33" s="163"/>
      <c r="H33" s="163"/>
      <c r="I33" s="163"/>
      <c r="J33" s="163"/>
      <c r="K33"/>
      <c r="L33"/>
      <c r="M33"/>
      <c r="N33"/>
      <c r="O33"/>
      <c r="P33"/>
      <c r="Q33"/>
    </row>
    <row r="34" spans="2:17" x14ac:dyDescent="0.3">
      <c r="B34" s="43"/>
      <c r="C34" s="150"/>
      <c r="D34" s="157"/>
      <c r="E34" s="157"/>
      <c r="F34" s="157"/>
      <c r="G34" s="157"/>
      <c r="H34" s="157"/>
      <c r="I34" s="43"/>
      <c r="J34" s="43"/>
      <c r="K34"/>
      <c r="L34"/>
      <c r="M34"/>
      <c r="N34"/>
      <c r="O34"/>
      <c r="P34"/>
      <c r="Q34"/>
    </row>
    <row r="35" spans="2:17" x14ac:dyDescent="0.3">
      <c r="B35" s="43"/>
      <c r="C35" s="150"/>
      <c r="D35" s="157"/>
      <c r="E35" s="157"/>
      <c r="F35" s="157"/>
      <c r="G35" s="157"/>
      <c r="H35" s="157"/>
      <c r="I35" s="43"/>
      <c r="J35" s="43"/>
      <c r="K35"/>
      <c r="L35"/>
      <c r="M35"/>
      <c r="N35"/>
      <c r="O35"/>
      <c r="P35"/>
      <c r="Q35"/>
    </row>
    <row r="36" spans="2:17" x14ac:dyDescent="0.3">
      <c r="B36" s="43"/>
      <c r="C36" s="150"/>
      <c r="D36" s="157"/>
      <c r="E36" s="157"/>
      <c r="F36" s="157"/>
      <c r="G36" s="157"/>
      <c r="H36" s="157"/>
      <c r="I36" s="43"/>
      <c r="J36" s="43"/>
      <c r="K36"/>
      <c r="L36"/>
      <c r="M36"/>
      <c r="N36"/>
      <c r="O36"/>
      <c r="P36"/>
      <c r="Q36"/>
    </row>
    <row r="37" spans="2:17" x14ac:dyDescent="0.3">
      <c r="B37" s="43"/>
      <c r="C37" s="150"/>
      <c r="D37" s="43"/>
      <c r="E37" s="43"/>
      <c r="F37" s="43"/>
      <c r="G37" s="43"/>
      <c r="H37" s="43"/>
      <c r="I37" s="43"/>
      <c r="J37" s="43"/>
      <c r="K37"/>
      <c r="L37"/>
      <c r="M37"/>
      <c r="N37"/>
      <c r="O37"/>
      <c r="P37"/>
      <c r="Q37"/>
    </row>
    <row r="38" spans="2:17" x14ac:dyDescent="0.3">
      <c r="B38" s="43"/>
      <c r="C38" s="150"/>
      <c r="D38" s="43"/>
      <c r="E38" s="43"/>
      <c r="F38" s="43"/>
      <c r="G38" s="43"/>
      <c r="H38" s="43"/>
      <c r="I38" s="43"/>
      <c r="J38" s="43"/>
      <c r="K38"/>
      <c r="L38"/>
      <c r="M38"/>
      <c r="N38"/>
      <c r="O38"/>
      <c r="P38"/>
      <c r="Q38"/>
    </row>
    <row r="39" spans="2:17" x14ac:dyDescent="0.3">
      <c r="K39"/>
      <c r="L39"/>
      <c r="M39"/>
      <c r="N39"/>
      <c r="O39"/>
      <c r="P39"/>
      <c r="Q39"/>
    </row>
  </sheetData>
  <mergeCells count="2">
    <mergeCell ref="L14:L15"/>
    <mergeCell ref="P14:Q14"/>
  </mergeCells>
  <conditionalFormatting sqref="D21:J26">
    <cfRule type="expression" dxfId="6" priority="1">
      <formula>AND(D$20&lt;=$M$20,$C21=$M$21)</formula>
    </cfRule>
  </conditionalFormatting>
  <dataValidations disablePrompts="1" count="2">
    <dataValidation type="list" allowBlank="1" showInputMessage="1" showErrorMessage="1" sqref="M20" xr:uid="{32B05A79-88C5-423D-A388-E0524C6E96FC}">
      <formula1>$D$20:$J$20</formula1>
    </dataValidation>
    <dataValidation type="list" allowBlank="1" showInputMessage="1" showErrorMessage="1" sqref="M21" xr:uid="{636DF988-0424-4EC8-A335-4B07EA1D7264}">
      <formula1>$C$21:$C$26</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0FB99-3E0D-43D5-ACF8-E741466614C8}">
  <sheetPr codeName="Hoja13"/>
  <dimension ref="B2:C12"/>
  <sheetViews>
    <sheetView showGridLines="0" workbookViewId="0"/>
  </sheetViews>
  <sheetFormatPr baseColWidth="10" defaultRowHeight="14.4" x14ac:dyDescent="0.3"/>
  <cols>
    <col min="1" max="1" width="4.44140625" customWidth="1"/>
    <col min="2" max="2" width="34.33203125" bestFit="1" customWidth="1"/>
    <col min="3" max="3" width="47" bestFit="1" customWidth="1"/>
  </cols>
  <sheetData>
    <row r="2" spans="2:3" x14ac:dyDescent="0.3">
      <c r="B2" s="2" t="s">
        <v>5</v>
      </c>
    </row>
    <row r="3" spans="2:3" x14ac:dyDescent="0.3">
      <c r="B3" s="2"/>
    </row>
    <row r="4" spans="2:3" x14ac:dyDescent="0.3">
      <c r="B4" s="2"/>
      <c r="C4" s="7" t="s">
        <v>398</v>
      </c>
    </row>
    <row r="5" spans="2:3" x14ac:dyDescent="0.3">
      <c r="C5" s="6" t="s">
        <v>7</v>
      </c>
    </row>
    <row r="6" spans="2:3" x14ac:dyDescent="0.3">
      <c r="C6" s="6" t="s">
        <v>6</v>
      </c>
    </row>
    <row r="7" spans="2:3" x14ac:dyDescent="0.3">
      <c r="C7" s="7" t="s">
        <v>10</v>
      </c>
    </row>
    <row r="8" spans="2:3" x14ac:dyDescent="0.3">
      <c r="C8" s="7" t="s">
        <v>8</v>
      </c>
    </row>
    <row r="9" spans="2:3" x14ac:dyDescent="0.3">
      <c r="C9" s="7" t="s">
        <v>9</v>
      </c>
    </row>
    <row r="10" spans="2:3" x14ac:dyDescent="0.3">
      <c r="C10" s="7" t="s">
        <v>395</v>
      </c>
    </row>
    <row r="11" spans="2:3" x14ac:dyDescent="0.3">
      <c r="C11" s="7" t="s">
        <v>400</v>
      </c>
    </row>
    <row r="12" spans="2:3" x14ac:dyDescent="0.3">
      <c r="C12" s="7"/>
    </row>
  </sheetData>
  <hyperlinks>
    <hyperlink ref="C5" r:id="rId1" xr:uid="{5736C8C4-F50B-4EB0-B6EA-E6902F6947F4}"/>
    <hyperlink ref="C6" r:id="rId2" xr:uid="{14F2D082-3749-48A7-B5B5-732B5D5469BA}"/>
    <hyperlink ref="C7" r:id="rId3" xr:uid="{77D64AAF-BC5D-4777-9E5F-981CB896582A}"/>
    <hyperlink ref="C8" r:id="rId4" xr:uid="{43D156CE-F7A2-4542-ACB9-7DCD5688684C}"/>
    <hyperlink ref="C9" r:id="rId5" xr:uid="{A2A78956-7F7D-4DA0-861B-A1D1FDD7F108}"/>
    <hyperlink ref="C10" r:id="rId6" xr:uid="{DB63DA3F-D305-482B-8473-D9DAC5FF2097}"/>
    <hyperlink ref="C4" r:id="rId7" xr:uid="{8FA92D36-3F51-4EC6-BF9C-CDBDBF9493DC}"/>
    <hyperlink ref="C11" r:id="rId8" xr:uid="{0D028EB4-8470-40D4-BA4F-EC6E99A0C9B4}"/>
  </hyperlinks>
  <pageMargins left="0.7" right="0.7" top="0.75" bottom="0.75" header="0.3" footer="0.3"/>
  <pageSetup orientation="portrait"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184F9-9ED1-4600-8617-BA919EA2F815}">
  <sheetPr codeName="Hoja12"/>
  <dimension ref="FUT54887:WQP730911"/>
  <sheetViews>
    <sheetView workbookViewId="0"/>
  </sheetViews>
  <sheetFormatPr baseColWidth="10" defaultRowHeight="14.4" x14ac:dyDescent="0.3"/>
  <sheetData>
    <row r="54887" spans="11572:11572" x14ac:dyDescent="0.3">
      <c r="QCB54887" t="s">
        <v>520</v>
      </c>
    </row>
    <row r="544182" spans="16006:16006" x14ac:dyDescent="0.3">
      <c r="WQP544182" t="s">
        <v>521</v>
      </c>
    </row>
    <row r="730911" spans="4622:4622" x14ac:dyDescent="0.3">
      <c r="FUT730911" t="s">
        <v>519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3412779D-A1D6-4216-9690-28CAB5D8B5FE}">
  <ds:schemaRefs/>
</ds:datastoreItem>
</file>

<file path=customXml/itemProps2.xml><?xml version="1.0" encoding="utf-8"?>
<ds:datastoreItem xmlns:ds="http://schemas.openxmlformats.org/officeDocument/2006/customXml" ds:itemID="{09F7206A-E0C7-4993-A731-9D1387CF8BAB}">
  <ds:schemaRefs/>
</ds:datastoreItem>
</file>

<file path=customXml/itemProps3.xml><?xml version="1.0" encoding="utf-8"?>
<ds:datastoreItem xmlns:ds="http://schemas.openxmlformats.org/officeDocument/2006/customXml" ds:itemID="{3AFE4C62-CA9B-4609-8D9D-CBC988F9658D}">
  <ds:schemaRefs/>
</ds:datastoreItem>
</file>

<file path=customXml/itemProps4.xml><?xml version="1.0" encoding="utf-8"?>
<ds:datastoreItem xmlns:ds="http://schemas.openxmlformats.org/officeDocument/2006/customXml" ds:itemID="{B5463826-0A95-4CBE-8644-244F7B43D58B}">
  <ds:schemaRefs/>
</ds:datastoreItem>
</file>

<file path=customXml/itemProps5.xml><?xml version="1.0" encoding="utf-8"?>
<ds:datastoreItem xmlns:ds="http://schemas.openxmlformats.org/officeDocument/2006/customXml" ds:itemID="{B88E207D-4623-4922-9FDD-E30B8A3E9DC8}">
  <ds:schemaRefs/>
</ds:datastoreItem>
</file>

<file path=customXml/itemProps6.xml><?xml version="1.0" encoding="utf-8"?>
<ds:datastoreItem xmlns:ds="http://schemas.openxmlformats.org/officeDocument/2006/customXml" ds:itemID="{4D6E9D5B-653E-4CF3-A8D4-379D50256D9C}">
  <ds:schemaRefs/>
</ds:datastoreItem>
</file>

<file path=customXml/itemProps7.xml><?xml version="1.0" encoding="utf-8"?>
<ds:datastoreItem xmlns:ds="http://schemas.openxmlformats.org/officeDocument/2006/customXml" ds:itemID="{C38E2813-16B7-427B-8BB2-79717A30B094}">
  <ds:schemaRefs/>
</ds:datastoreItem>
</file>

<file path=customXml/itemProps8.xml><?xml version="1.0" encoding="utf-8"?>
<ds:datastoreItem xmlns:ds="http://schemas.openxmlformats.org/officeDocument/2006/customXml" ds:itemID="{162EE41E-6AAA-46ED-896E-D8CE0A298C2E}">
  <ds:schemaRefs/>
</ds:datastoreItem>
</file>

<file path=customXml/itemProps9.xml><?xml version="1.0" encoding="utf-8"?>
<ds:datastoreItem xmlns:ds="http://schemas.openxmlformats.org/officeDocument/2006/customXml" ds:itemID="{8E05418C-0405-4DF3-9B8F-49A6232FB68F}">
  <ds:schemaRefs/>
</ds:datastoreItem>
</file>

<file path=customXml/itemProps10.xml><?xml version="1.0" encoding="utf-8"?>
<ds:datastoreItem xmlns:ds="http://schemas.openxmlformats.org/officeDocument/2006/customXml" ds:itemID="{B3AC1E50-DDED-4504-9A79-094FF3047B2A}">
  <ds:schemaRefs/>
</ds:datastoreItem>
</file>

<file path=customXml/itemProps11.xml><?xml version="1.0" encoding="utf-8"?>
<ds:datastoreItem xmlns:ds="http://schemas.openxmlformats.org/officeDocument/2006/customXml" ds:itemID="{8EFC613F-8A2B-4E00-9894-DF3529A2B685}">
  <ds:schemaRefs/>
</ds:datastoreItem>
</file>

<file path=customXml/itemProps12.xml><?xml version="1.0" encoding="utf-8"?>
<ds:datastoreItem xmlns:ds="http://schemas.openxmlformats.org/officeDocument/2006/customXml" ds:itemID="{164D8945-134C-40CA-A3B1-98465AD6FA4B}">
  <ds:schemaRefs/>
</ds:datastoreItem>
</file>

<file path=customXml/itemProps13.xml><?xml version="1.0" encoding="utf-8"?>
<ds:datastoreItem xmlns:ds="http://schemas.openxmlformats.org/officeDocument/2006/customXml" ds:itemID="{56A459C9-097B-4A3F-92FE-ECA008018957}">
  <ds:schemaRefs/>
</ds:datastoreItem>
</file>

<file path=customXml/itemProps14.xml><?xml version="1.0" encoding="utf-8"?>
<ds:datastoreItem xmlns:ds="http://schemas.openxmlformats.org/officeDocument/2006/customXml" ds:itemID="{4CC0F77A-CE97-4E37-B8C6-768ACCA934D9}">
  <ds:schemaRefs/>
</ds:datastoreItem>
</file>

<file path=customXml/itemProps15.xml><?xml version="1.0" encoding="utf-8"?>
<ds:datastoreItem xmlns:ds="http://schemas.openxmlformats.org/officeDocument/2006/customXml" ds:itemID="{DF6F3A95-6DAE-45A7-8625-47465D5CF658}">
  <ds:schemaRefs/>
</ds:datastoreItem>
</file>

<file path=customXml/itemProps16.xml><?xml version="1.0" encoding="utf-8"?>
<ds:datastoreItem xmlns:ds="http://schemas.openxmlformats.org/officeDocument/2006/customXml" ds:itemID="{47343620-F385-4F42-AF2B-0D7A453B26F4}">
  <ds:schemaRefs/>
</ds:datastoreItem>
</file>

<file path=customXml/itemProps17.xml><?xml version="1.0" encoding="utf-8"?>
<ds:datastoreItem xmlns:ds="http://schemas.openxmlformats.org/officeDocument/2006/customXml" ds:itemID="{9FBEFC63-E905-4313-9706-4930C71F1BDA}">
  <ds:schemaRefs/>
</ds:datastoreItem>
</file>

<file path=customXml/itemProps18.xml><?xml version="1.0" encoding="utf-8"?>
<ds:datastoreItem xmlns:ds="http://schemas.openxmlformats.org/officeDocument/2006/customXml" ds:itemID="{98715426-9498-4B56-9BDE-D2120B70C151}">
  <ds:schemaRefs/>
</ds:datastoreItem>
</file>

<file path=customXml/itemProps19.xml><?xml version="1.0" encoding="utf-8"?>
<ds:datastoreItem xmlns:ds="http://schemas.openxmlformats.org/officeDocument/2006/customXml" ds:itemID="{C2521D40-7991-46A1-B85E-30FEC79F99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3</vt:i4>
      </vt:variant>
    </vt:vector>
  </HeadingPairs>
  <TitlesOfParts>
    <vt:vector size="16" baseType="lpstr">
      <vt:lpstr>Frase</vt:lpstr>
      <vt:lpstr>Docente</vt:lpstr>
      <vt:lpstr>ValidacionDeDatos</vt:lpstr>
      <vt:lpstr>Ejercicio Dashboard</vt:lpstr>
      <vt:lpstr>Dashboard</vt:lpstr>
      <vt:lpstr>Funciones Financieras</vt:lpstr>
      <vt:lpstr>Funciones Fechas</vt:lpstr>
      <vt:lpstr>ConectarRespuestasDeFormulario</vt:lpstr>
      <vt:lpstr>ConceptoMacros</vt:lpstr>
      <vt:lpstr>ControlesFormulario</vt:lpstr>
      <vt:lpstr>CodigoVBA</vt:lpstr>
      <vt:lpstr>Función DESREF</vt:lpstr>
      <vt:lpstr>Extra</vt:lpstr>
      <vt:lpstr>Colombia</vt:lpstr>
      <vt:lpstr>Perú</vt:lpstr>
      <vt:lpstr>Uruguay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Chrisardo Rolo</cp:lastModifiedBy>
  <dcterms:created xsi:type="dcterms:W3CDTF">2023-06-08T20:30:31Z</dcterms:created>
  <dcterms:modified xsi:type="dcterms:W3CDTF">2024-08-11T22:57:27Z</dcterms:modified>
</cp:coreProperties>
</file>